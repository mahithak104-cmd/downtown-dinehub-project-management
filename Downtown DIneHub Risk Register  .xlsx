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mahithakalinathabotla/Desktop/"/>
    </mc:Choice>
  </mc:AlternateContent>
  <xr:revisionPtr revIDLastSave="0" documentId="13_ncr:1_{44BE67FD-313A-6540-96BF-D9E9E2FFFA5C}" xr6:coauthVersionLast="47" xr6:coauthVersionMax="47" xr10:uidLastSave="{00000000-0000-0000-0000-000000000000}"/>
  <bookViews>
    <workbookView xWindow="12900" yWindow="860" windowWidth="21300" windowHeight="21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9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D5" i="1"/>
  <c r="D6" i="1"/>
  <c r="D7" i="1"/>
  <c r="D8" i="1"/>
  <c r="D10" i="1"/>
  <c r="D11" i="1"/>
  <c r="D12" i="1"/>
  <c r="D13" i="1"/>
  <c r="D14" i="1"/>
  <c r="H2" i="1"/>
</calcChain>
</file>

<file path=xl/sharedStrings.xml><?xml version="1.0" encoding="utf-8"?>
<sst xmlns="http://schemas.openxmlformats.org/spreadsheetml/2006/main" count="69" uniqueCount="62">
  <si>
    <t>Risk Response</t>
  </si>
  <si>
    <t>Last Update</t>
  </si>
  <si>
    <t>Date</t>
  </si>
  <si>
    <t>Open Risk</t>
  </si>
  <si>
    <t>Delay in obtaining university space approval</t>
  </si>
  <si>
    <t>Low student turnout during pilot</t>
  </si>
  <si>
    <t>Delay in utility setup (water,power,Wi-Fi)</t>
  </si>
  <si>
    <t xml:space="preserve">Health or food safety inspection failure </t>
  </si>
  <si>
    <t xml:space="preserve">Cost overruns from underestimated materials </t>
  </si>
  <si>
    <t>Hygiene/ Poor food quality</t>
  </si>
  <si>
    <t>Team buronout during setup phase</t>
  </si>
  <si>
    <t xml:space="preserve">Vendor conflicts </t>
  </si>
  <si>
    <t>Bad weather delays vendor deliveries</t>
  </si>
  <si>
    <t>Campus policy change restricting food sales</t>
  </si>
  <si>
    <t>Project ends without capturning performance metrics</t>
  </si>
  <si>
    <t>Equipment malfunction (microwaves, water stations)</t>
  </si>
  <si>
    <t>Vendor withdrawal before launch</t>
  </si>
  <si>
    <t>Use local suppliers; build small buffer stock for non-perishables</t>
  </si>
  <si>
    <t>Maintain regular communication with adminstration; prepare backup plan for packaged items only.</t>
  </si>
  <si>
    <t xml:space="preserve">keep 15% contingency reserve; monitor weekly expenses </t>
  </si>
  <si>
    <t>Begin approval process early; hold weekly meetings with Facilities.</t>
  </si>
  <si>
    <t>Submit Facilities work orders early, include 2 week schedlue buffers</t>
  </si>
  <si>
    <t>Perform weekly maintenance, keep one spare unit, label repair contact clearly.</t>
  </si>
  <si>
    <t xml:space="preserve">Conduct internal audit; ensure vendors have valid food handling certifications </t>
  </si>
  <si>
    <t>Weekly quality checks; student feedback QR codes</t>
  </si>
  <si>
    <t xml:space="preserve">Run marketing campaign, launch event, free tasting days </t>
  </si>
  <si>
    <t>Assisgn a data lead; track sales, surveys and vendor satisfaction weekly.</t>
  </si>
  <si>
    <t>Rotate work schedules; limit overtime; reward team milestones.</t>
  </si>
  <si>
    <t xml:space="preserve">Set vendor rules for space/time slots; host orientation </t>
  </si>
  <si>
    <t xml:space="preserve">Have backup vednor list; use flexible, short term trial contacts. </t>
  </si>
  <si>
    <t>Vendor Manager</t>
  </si>
  <si>
    <t>Project Sponsor/ Univerisity Liaison</t>
  </si>
  <si>
    <t>Finance Lead</t>
  </si>
  <si>
    <t xml:space="preserve">Project Manager </t>
  </si>
  <si>
    <t>Facilities Coordinator</t>
  </si>
  <si>
    <t xml:space="preserve">Operations Lead </t>
  </si>
  <si>
    <t>Marketing Lead</t>
  </si>
  <si>
    <t>Project Manager/Data Analyst</t>
  </si>
  <si>
    <t xml:space="preserve">Vendor Coordinator </t>
  </si>
  <si>
    <t xml:space="preserve">Procurement Lead </t>
  </si>
  <si>
    <t>Quality Assurance (QA)Lead</t>
  </si>
  <si>
    <t xml:space="preserve">Facilities Lead/ Maintenance Supervisor </t>
  </si>
  <si>
    <t xml:space="preserve">Sponsor checked with university adminstration </t>
  </si>
  <si>
    <t>Held follow up meeting with Facilities</t>
  </si>
  <si>
    <t xml:space="preserve">Received tentative utility completion schedule </t>
  </si>
  <si>
    <t xml:space="preserve">Verfied vendor certifications </t>
  </si>
  <si>
    <t xml:space="preserve">Launched awareness campaign </t>
  </si>
  <si>
    <t xml:space="preserve">Reviewed vendor schedule alignment </t>
  </si>
  <si>
    <t>Reviewed material costs and confirmed contigency still valid</t>
  </si>
  <si>
    <t xml:space="preserve">Confirmed backup vendor contract readiness </t>
  </si>
  <si>
    <t xml:space="preserve">On Watch </t>
  </si>
  <si>
    <t xml:space="preserve">Mitigated </t>
  </si>
  <si>
    <t xml:space="preserve">Implemented shift rotations </t>
  </si>
  <si>
    <t xml:space="preserve">Risk Description </t>
  </si>
  <si>
    <t>Initial Probability (1-5)</t>
  </si>
  <si>
    <t>Initial Impact  (1-5)</t>
  </si>
  <si>
    <t>Initial Risk Score</t>
  </si>
  <si>
    <t>Residual Impact (1-5)</t>
  </si>
  <si>
    <t>Residual Probability (1-5)</t>
  </si>
  <si>
    <t xml:space="preserve">Residual Risk Score </t>
  </si>
  <si>
    <t>Responsible Role</t>
  </si>
  <si>
    <t xml:space="preserve">Current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</si>
</sst>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4" fontId="0" fillId="0" borderId="3" xfId="0" applyNumberFormat="1" applyBorder="1" applyAlignment="1">
      <alignment horizontal="left" vertical="center" wrapText="1"/>
    </xf>
    <xf numFmtId="14" fontId="0" fillId="0" borderId="7" xfId="0" applyNumberForma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4" totalsRowShown="0" headerRowDxfId="22" dataDxfId="20" headerRowBorderDxfId="21" tableBorderDxfId="19" totalsRowBorderDxfId="18">
  <autoFilter ref="A1:L14" xr:uid="{00000000-0009-0000-0100-000001000000}"/>
  <sortState xmlns:xlrd2="http://schemas.microsoft.com/office/spreadsheetml/2017/richdata2" ref="A2:L14">
    <sortCondition ref="A2:A14"/>
  </sortState>
  <tableColumns count="12">
    <tableColumn id="1" xr3:uid="{00000000-0010-0000-0000-000001000000}" name="Risk Description " dataDxfId="17"/>
    <tableColumn id="2" xr3:uid="{00000000-0010-0000-0000-000002000000}" name="Initial Probability (1-5)" dataDxfId="16"/>
    <tableColumn id="3" xr3:uid="{00000000-0010-0000-0000-000003000000}" name="Initial Impact  (1-5)" dataDxfId="15"/>
    <tableColumn id="4" xr3:uid="{00000000-0010-0000-0000-000004000000}" name="Initial Risk Score" dataDxfId="14">
      <calculatedColumnFormula>Table1[[#This Row],[Initial Probability (1-5)]]*Table1[[#This Row],[Initial Impact  (1-5)]]</calculatedColumnFormula>
    </tableColumn>
    <tableColumn id="5" xr3:uid="{00000000-0010-0000-0000-000005000000}" name="Risk Response" dataDxfId="13"/>
    <tableColumn id="8" xr3:uid="{00000000-0010-0000-0000-000008000000}" name="Residual Probability (1-5)" dataDxfId="12"/>
    <tableColumn id="9" xr3:uid="{00000000-0010-0000-0000-000009000000}" name="Residual Impact (1-5)" dataDxfId="11"/>
    <tableColumn id="10" xr3:uid="{00000000-0010-0000-0000-00000A000000}" name="Residual Risk Score " dataDxfId="10">
      <calculatedColumnFormula>Table1[[#This Row],[Residual Probability (1-5)]]*Table1[[#This Row],[Residual Impact (1-5)]]</calculatedColumnFormula>
    </tableColumn>
    <tableColumn id="11" xr3:uid="{00000000-0010-0000-0000-00000B000000}" name="Responsible Role" dataDxfId="9"/>
    <tableColumn id="6" xr3:uid="{00000000-0010-0000-0000-000006000000}" name="Last Update" dataDxfId="8"/>
    <tableColumn id="7" xr3:uid="{00000000-0010-0000-0000-000007000000}" name="Date" dataDxfId="7"/>
    <tableColumn id="12" xr3:uid="{00000000-0010-0000-0000-00000C000000}" name="Current Status " dataDxfId="6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topLeftCell="E2" zoomScaleNormal="100" workbookViewId="0">
      <selection activeCell="D1" sqref="D1:D1048576"/>
    </sheetView>
  </sheetViews>
  <sheetFormatPr baseColWidth="10" defaultColWidth="9.1640625" defaultRowHeight="15" outlineLevelCol="1" x14ac:dyDescent="0.2"/>
  <cols>
    <col min="1" max="1" width="48.5" style="4" customWidth="1"/>
    <col min="2" max="2" width="25.83203125" style="4" customWidth="1" outlineLevel="1"/>
    <col min="3" max="3" width="20.5" style="4" customWidth="1" outlineLevel="1"/>
    <col min="4" max="4" width="16" style="4" customWidth="1"/>
    <col min="5" max="5" width="49.83203125" style="4" customWidth="1"/>
    <col min="6" max="6" width="22.83203125" style="4" customWidth="1" outlineLevel="1"/>
    <col min="7" max="7" width="21" style="4" customWidth="1" outlineLevel="1"/>
    <col min="8" max="8" width="19.1640625" style="4" customWidth="1"/>
    <col min="9" max="9" width="31.1640625" style="4" customWidth="1"/>
    <col min="10" max="10" width="40.6640625" style="4" customWidth="1"/>
    <col min="11" max="11" width="11.33203125" style="9" customWidth="1"/>
    <col min="12" max="12" width="26.33203125" style="4" customWidth="1"/>
    <col min="13" max="16384" width="9.1640625" style="4"/>
  </cols>
  <sheetData>
    <row r="1" spans="1:12" ht="16" x14ac:dyDescent="0.2">
      <c r="A1" s="10" t="s">
        <v>53</v>
      </c>
      <c r="B1" s="2" t="s">
        <v>54</v>
      </c>
      <c r="C1" s="2" t="s">
        <v>55</v>
      </c>
      <c r="D1" s="2" t="s">
        <v>56</v>
      </c>
      <c r="E1" s="2" t="s">
        <v>0</v>
      </c>
      <c r="F1" s="2" t="s">
        <v>58</v>
      </c>
      <c r="G1" s="2" t="s">
        <v>57</v>
      </c>
      <c r="H1" s="2" t="s">
        <v>59</v>
      </c>
      <c r="I1" s="2" t="s">
        <v>60</v>
      </c>
      <c r="J1" s="2" t="s">
        <v>1</v>
      </c>
      <c r="K1" s="11" t="s">
        <v>2</v>
      </c>
      <c r="L1" s="2" t="s">
        <v>61</v>
      </c>
    </row>
    <row r="2" spans="1:12" ht="16" x14ac:dyDescent="0.2">
      <c r="A2" s="1" t="s">
        <v>12</v>
      </c>
      <c r="B2" s="3">
        <v>2</v>
      </c>
      <c r="C2" s="3">
        <v>3</v>
      </c>
      <c r="D2" s="3">
        <f>Table1[[#This Row],[Initial Probability (1-5)]]*Table1[[#This Row],[Initial Impact  (1-5)]]</f>
        <v>6</v>
      </c>
      <c r="E2" s="3" t="s">
        <v>17</v>
      </c>
      <c r="F2" s="12">
        <v>2</v>
      </c>
      <c r="G2" s="3">
        <v>2</v>
      </c>
      <c r="H2" s="3">
        <f>Table1[[#This Row],[Residual Probability (1-5)]]*Table1[[#This Row],[Residual Impact (1-5)]]</f>
        <v>4</v>
      </c>
      <c r="I2" s="1" t="s">
        <v>30</v>
      </c>
      <c r="J2" s="3"/>
      <c r="K2" s="7"/>
      <c r="L2" s="3"/>
    </row>
    <row r="3" spans="1:12" ht="32" x14ac:dyDescent="0.2">
      <c r="A3" s="1" t="s">
        <v>13</v>
      </c>
      <c r="B3" s="3">
        <v>1</v>
      </c>
      <c r="C3" s="3">
        <v>4</v>
      </c>
      <c r="D3" s="3">
        <f>Table1[[#This Row],[Initial Probability (1-5)]]*Table1[[#This Row],[Initial Impact  (1-5)]]</f>
        <v>4</v>
      </c>
      <c r="E3" s="3" t="s">
        <v>18</v>
      </c>
      <c r="F3" s="3">
        <v>1</v>
      </c>
      <c r="G3" s="3">
        <v>3</v>
      </c>
      <c r="H3" s="3">
        <f>Table1[[#This Row],[Residual Probability (1-5)]]*Table1[[#This Row],[Residual Impact (1-5)]]</f>
        <v>3</v>
      </c>
      <c r="I3" s="1" t="s">
        <v>31</v>
      </c>
      <c r="J3" s="3" t="s">
        <v>42</v>
      </c>
      <c r="K3" s="7">
        <v>45915</v>
      </c>
      <c r="L3" s="3" t="s">
        <v>50</v>
      </c>
    </row>
    <row r="4" spans="1:12" ht="32" x14ac:dyDescent="0.2">
      <c r="A4" s="1" t="s">
        <v>8</v>
      </c>
      <c r="B4" s="3">
        <v>3</v>
      </c>
      <c r="C4" s="3">
        <v>3</v>
      </c>
      <c r="D4" s="3">
        <f>Table1[[#This Row],[Initial Probability (1-5)]]*Table1[[#This Row],[Initial Impact  (1-5)]]</f>
        <v>9</v>
      </c>
      <c r="E4" s="3" t="s">
        <v>19</v>
      </c>
      <c r="F4" s="3">
        <v>2</v>
      </c>
      <c r="G4" s="3">
        <v>3</v>
      </c>
      <c r="H4" s="3">
        <f>Table1[[#This Row],[Residual Probability (1-5)]]*Table1[[#This Row],[Residual Impact (1-5)]]</f>
        <v>6</v>
      </c>
      <c r="I4" s="1" t="s">
        <v>32</v>
      </c>
      <c r="J4" s="3" t="s">
        <v>48</v>
      </c>
      <c r="K4" s="7">
        <v>45930</v>
      </c>
      <c r="L4" s="3" t="s">
        <v>3</v>
      </c>
    </row>
    <row r="5" spans="1:12" ht="32" x14ac:dyDescent="0.2">
      <c r="A5" s="1" t="s">
        <v>4</v>
      </c>
      <c r="B5" s="3">
        <v>4</v>
      </c>
      <c r="C5" s="3">
        <v>5</v>
      </c>
      <c r="D5" s="3">
        <f>Table1[[#This Row],[Initial Probability (1-5)]]*Table1[[#This Row],[Initial Impact  (1-5)]]</f>
        <v>20</v>
      </c>
      <c r="E5" s="3" t="s">
        <v>20</v>
      </c>
      <c r="F5" s="3">
        <v>3</v>
      </c>
      <c r="G5" s="3">
        <v>4</v>
      </c>
      <c r="H5" s="3">
        <f>Table1[[#This Row],[Residual Probability (1-5)]]*Table1[[#This Row],[Residual Impact (1-5)]]</f>
        <v>12</v>
      </c>
      <c r="I5" s="1" t="s">
        <v>33</v>
      </c>
      <c r="J5" s="3" t="s">
        <v>43</v>
      </c>
      <c r="K5" s="7">
        <v>45935</v>
      </c>
      <c r="L5" s="3" t="s">
        <v>3</v>
      </c>
    </row>
    <row r="6" spans="1:12" ht="32" x14ac:dyDescent="0.2">
      <c r="A6" s="1" t="s">
        <v>6</v>
      </c>
      <c r="B6" s="3">
        <v>3</v>
      </c>
      <c r="C6" s="3">
        <v>4</v>
      </c>
      <c r="D6" s="3">
        <f>Table1[[#This Row],[Initial Probability (1-5)]]*Table1[[#This Row],[Initial Impact  (1-5)]]</f>
        <v>12</v>
      </c>
      <c r="E6" s="3" t="s">
        <v>21</v>
      </c>
      <c r="F6" s="3">
        <v>2</v>
      </c>
      <c r="G6" s="3">
        <v>3</v>
      </c>
      <c r="H6" s="3">
        <f>Table1[[#This Row],[Residual Probability (1-5)]]*Table1[[#This Row],[Residual Impact (1-5)]]</f>
        <v>6</v>
      </c>
      <c r="I6" s="3" t="s">
        <v>34</v>
      </c>
      <c r="J6" s="3" t="s">
        <v>44</v>
      </c>
      <c r="K6" s="7">
        <v>45945</v>
      </c>
      <c r="L6" s="3" t="s">
        <v>3</v>
      </c>
    </row>
    <row r="7" spans="1:12" ht="32" x14ac:dyDescent="0.2">
      <c r="A7" s="1" t="s">
        <v>15</v>
      </c>
      <c r="B7" s="3">
        <v>2</v>
      </c>
      <c r="C7" s="3">
        <v>3</v>
      </c>
      <c r="D7" s="3">
        <f>Table1[[#This Row],[Initial Probability (1-5)]]*Table1[[#This Row],[Initial Impact  (1-5)]]</f>
        <v>6</v>
      </c>
      <c r="E7" s="3" t="s">
        <v>22</v>
      </c>
      <c r="F7" s="3">
        <v>2</v>
      </c>
      <c r="G7" s="3">
        <v>2</v>
      </c>
      <c r="H7" s="3">
        <f>Table1[[#This Row],[Residual Probability (1-5)]]*Table1[[#This Row],[Residual Impact (1-5)]]</f>
        <v>4</v>
      </c>
      <c r="I7" s="1" t="s">
        <v>41</v>
      </c>
      <c r="J7" s="3"/>
      <c r="K7" s="7"/>
      <c r="L7" s="3"/>
    </row>
    <row r="8" spans="1:12" ht="32" x14ac:dyDescent="0.2">
      <c r="A8" s="5" t="s">
        <v>7</v>
      </c>
      <c r="B8" s="6">
        <v>3</v>
      </c>
      <c r="C8" s="6">
        <v>5</v>
      </c>
      <c r="D8" s="3">
        <f>Table1[[#This Row],[Initial Probability (1-5)]]*Table1[[#This Row],[Initial Impact  (1-5)]]</f>
        <v>15</v>
      </c>
      <c r="E8" s="6" t="s">
        <v>23</v>
      </c>
      <c r="F8" s="6">
        <v>2</v>
      </c>
      <c r="G8" s="6">
        <v>4</v>
      </c>
      <c r="H8" s="3">
        <f>Table1[[#This Row],[Residual Probability (1-5)]]*Table1[[#This Row],[Residual Impact (1-5)]]</f>
        <v>8</v>
      </c>
      <c r="I8" s="6" t="s">
        <v>35</v>
      </c>
      <c r="J8" s="6" t="s">
        <v>45</v>
      </c>
      <c r="K8" s="8">
        <v>45953</v>
      </c>
      <c r="L8" s="6" t="s">
        <v>3</v>
      </c>
    </row>
    <row r="9" spans="1:12" ht="16" x14ac:dyDescent="0.2">
      <c r="A9" s="5" t="s">
        <v>9</v>
      </c>
      <c r="B9" s="6">
        <v>3</v>
      </c>
      <c r="C9" s="6">
        <v>3</v>
      </c>
      <c r="D9" s="3">
        <f>Table1[[#This Row],[Initial Probability (1-5)]]*Table1[[#This Row],[Initial Impact  (1-5)]]</f>
        <v>9</v>
      </c>
      <c r="E9" s="6" t="s">
        <v>24</v>
      </c>
      <c r="F9" s="6">
        <v>2</v>
      </c>
      <c r="G9" s="6">
        <v>3</v>
      </c>
      <c r="H9" s="3">
        <f>Table1[[#This Row],[Residual Probability (1-5)]]*Table1[[#This Row],[Residual Impact (1-5)]]</f>
        <v>6</v>
      </c>
      <c r="I9" s="6" t="s">
        <v>40</v>
      </c>
      <c r="J9" s="6"/>
      <c r="K9" s="8"/>
      <c r="L9" s="6"/>
    </row>
    <row r="10" spans="1:12" ht="16" x14ac:dyDescent="0.2">
      <c r="A10" s="5" t="s">
        <v>5</v>
      </c>
      <c r="B10" s="6">
        <v>2</v>
      </c>
      <c r="C10" s="6">
        <v>4</v>
      </c>
      <c r="D10" s="3">
        <f>Table1[[#This Row],[Initial Probability (1-5)]]*Table1[[#This Row],[Initial Impact  (1-5)]]</f>
        <v>8</v>
      </c>
      <c r="E10" s="6" t="s">
        <v>25</v>
      </c>
      <c r="F10" s="6">
        <v>3</v>
      </c>
      <c r="G10" s="6">
        <v>3</v>
      </c>
      <c r="H10" s="3">
        <f>Table1[[#This Row],[Residual Probability (1-5)]]*Table1[[#This Row],[Residual Impact (1-5)]]</f>
        <v>9</v>
      </c>
      <c r="I10" s="6" t="s">
        <v>36</v>
      </c>
      <c r="J10" s="6" t="s">
        <v>46</v>
      </c>
      <c r="K10" s="8">
        <v>45959</v>
      </c>
      <c r="L10" s="6" t="s">
        <v>3</v>
      </c>
    </row>
    <row r="11" spans="1:12" ht="32" x14ac:dyDescent="0.2">
      <c r="A11" s="5" t="s">
        <v>14</v>
      </c>
      <c r="B11" s="6">
        <v>2</v>
      </c>
      <c r="C11" s="6">
        <v>4</v>
      </c>
      <c r="D11" s="3">
        <f>Table1[[#This Row],[Initial Probability (1-5)]]*Table1[[#This Row],[Initial Impact  (1-5)]]</f>
        <v>8</v>
      </c>
      <c r="E11" s="6" t="s">
        <v>26</v>
      </c>
      <c r="F11" s="6">
        <v>2</v>
      </c>
      <c r="G11" s="6">
        <v>2</v>
      </c>
      <c r="H11" s="3">
        <f>Table1[[#This Row],[Residual Probability (1-5)]]*Table1[[#This Row],[Residual Impact (1-5)]]</f>
        <v>4</v>
      </c>
      <c r="I11" s="6" t="s">
        <v>37</v>
      </c>
      <c r="J11" s="6"/>
      <c r="K11" s="8"/>
      <c r="L11" s="6"/>
    </row>
    <row r="12" spans="1:12" ht="32" x14ac:dyDescent="0.2">
      <c r="A12" s="5" t="s">
        <v>10</v>
      </c>
      <c r="B12" s="6">
        <v>3</v>
      </c>
      <c r="C12" s="6">
        <v>3</v>
      </c>
      <c r="D12" s="3">
        <f>Table1[[#This Row],[Initial Probability (1-5)]]*Table1[[#This Row],[Initial Impact  (1-5)]]</f>
        <v>9</v>
      </c>
      <c r="E12" s="6" t="s">
        <v>27</v>
      </c>
      <c r="F12" s="6">
        <v>2</v>
      </c>
      <c r="G12" s="6">
        <v>2</v>
      </c>
      <c r="H12" s="3">
        <f>Table1[[#This Row],[Residual Probability (1-5)]]*Table1[[#This Row],[Residual Impact (1-5)]]</f>
        <v>4</v>
      </c>
      <c r="I12" s="6" t="s">
        <v>33</v>
      </c>
      <c r="J12" s="6" t="s">
        <v>52</v>
      </c>
      <c r="K12" s="8">
        <v>45960</v>
      </c>
      <c r="L12" s="6" t="s">
        <v>51</v>
      </c>
    </row>
    <row r="13" spans="1:12" ht="16" x14ac:dyDescent="0.2">
      <c r="A13" s="5" t="s">
        <v>11</v>
      </c>
      <c r="B13" s="6">
        <v>1</v>
      </c>
      <c r="C13" s="6">
        <v>3</v>
      </c>
      <c r="D13" s="3">
        <f>Table1[[#This Row],[Initial Probability (1-5)]]*Table1[[#This Row],[Initial Impact  (1-5)]]</f>
        <v>3</v>
      </c>
      <c r="E13" s="6" t="s">
        <v>28</v>
      </c>
      <c r="F13" s="6">
        <v>2</v>
      </c>
      <c r="G13" s="6">
        <v>2</v>
      </c>
      <c r="H13" s="3">
        <f>Table1[[#This Row],[Residual Probability (1-5)]]*Table1[[#This Row],[Residual Impact (1-5)]]</f>
        <v>4</v>
      </c>
      <c r="I13" s="6" t="s">
        <v>38</v>
      </c>
      <c r="J13" s="6" t="s">
        <v>47</v>
      </c>
      <c r="K13" s="8">
        <v>45962</v>
      </c>
      <c r="L13" s="6" t="s">
        <v>3</v>
      </c>
    </row>
    <row r="14" spans="1:12" ht="16" x14ac:dyDescent="0.2">
      <c r="A14" s="5" t="s">
        <v>16</v>
      </c>
      <c r="B14" s="6">
        <v>3</v>
      </c>
      <c r="C14" s="6">
        <v>4</v>
      </c>
      <c r="D14" s="3">
        <f>Table1[[#This Row],[Initial Probability (1-5)]]*Table1[[#This Row],[Initial Impact  (1-5)]]</f>
        <v>12</v>
      </c>
      <c r="E14" s="6" t="s">
        <v>29</v>
      </c>
      <c r="F14" s="6">
        <v>2</v>
      </c>
      <c r="G14" s="6">
        <v>3</v>
      </c>
      <c r="H14" s="3">
        <f>Table1[[#This Row],[Residual Probability (1-5)]]*Table1[[#This Row],[Residual Impact (1-5)]]</f>
        <v>6</v>
      </c>
      <c r="I14" s="6" t="s">
        <v>39</v>
      </c>
      <c r="J14" s="6" t="s">
        <v>49</v>
      </c>
      <c r="K14" s="8">
        <v>45962</v>
      </c>
      <c r="L14" s="6" t="s">
        <v>3</v>
      </c>
    </row>
    <row r="30" spans="5:5" x14ac:dyDescent="0.2">
      <c r="E30" s="13"/>
    </row>
  </sheetData>
  <dataConsolidate/>
  <conditionalFormatting sqref="D2:D14 H2:H14">
    <cfRule type="cellIs" dxfId="3" priority="49" operator="greaterThan">
      <formula>12.5</formula>
    </cfRule>
    <cfRule type="cellIs" dxfId="5" priority="50" operator="lessThan">
      <formula>5.5</formula>
    </cfRule>
    <cfRule type="cellIs" dxfId="4" priority="51" operator="between">
      <formula>6</formula>
      <formula>12</formula>
    </cfRule>
  </conditionalFormatting>
  <dataValidations count="1">
    <dataValidation type="list" allowBlank="1" showInputMessage="1" showErrorMessage="1" sqref="G2 F3 F4:G14" xr:uid="{00000000-0002-0000-0000-000000000000}">
      <formula1>$A$28:$A$32</formula1>
    </dataValidation>
  </dataValidations>
  <pageMargins left="0.7" right="0.7" top="0.75" bottom="0.75" header="0.3" footer="0.3"/>
  <pageSetup scale="50" fitToHeight="0" orientation="landscape" r:id="rId1"/>
  <ignoredErrors>
    <ignoredError sqref="F3:F14 G2 G4:G14" listDataValidatio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ype xmlns="1490b901-184e-4407-be16-38c59cb092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B48C396018B4CBBAD4E547C5B4EB4" ma:contentTypeVersion="1" ma:contentTypeDescription="Create a new document." ma:contentTypeScope="" ma:versionID="64d42d514e4ec1b56b1973a3b21f8bb3">
  <xsd:schema xmlns:xsd="http://www.w3.org/2001/XMLSchema" xmlns:xs="http://www.w3.org/2001/XMLSchema" xmlns:p="http://schemas.microsoft.com/office/2006/metadata/properties" xmlns:ns2="1490b901-184e-4407-be16-38c59cb092c2" targetNamespace="http://schemas.microsoft.com/office/2006/metadata/properties" ma:root="true" ma:fieldsID="4c3229b0a58d3a4073d60ba55310aa02" ns2:_="">
    <xsd:import namespace="1490b901-184e-4407-be16-38c59cb092c2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0b901-184e-4407-be16-38c59cb092c2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internalName="Document_x0020_Typ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0E4AD3-3A2B-4617-9DA4-4CD2DA55DF10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681c6f63-c79b-4e6b-8999-e698ca92937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490b901-184e-4407-be16-38c59cb092c2"/>
  </ds:schemaRefs>
</ds:datastoreItem>
</file>

<file path=customXml/itemProps2.xml><?xml version="1.0" encoding="utf-8"?>
<ds:datastoreItem xmlns:ds="http://schemas.openxmlformats.org/officeDocument/2006/customXml" ds:itemID="{0DE96B40-B678-41CB-BD11-61466D46DA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0b901-184e-4407-be16-38c59cb09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0D86C3-05AB-47DA-A490-0ABF9632A6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CapCom FCU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Wiseman</dc:creator>
  <cp:lastModifiedBy>Kalinathabotla, Mahitha</cp:lastModifiedBy>
  <cp:lastPrinted>2019-01-17T22:23:09Z</cp:lastPrinted>
  <dcterms:created xsi:type="dcterms:W3CDTF">2017-04-07T15:00:30Z</dcterms:created>
  <dcterms:modified xsi:type="dcterms:W3CDTF">2025-11-11T23:20:13Z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0x010100D97B48C396018B4CBBAD4E547C5B4EB4</vt:lpwstr>
  </property>
</Properties>
</file>