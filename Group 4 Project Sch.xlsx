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codeName="ThisWorkbook"/>
  <mc:AlternateContent xmlns:mc="http://schemas.openxmlformats.org/markup-compatibility/2006">
    <mc:Choice Requires="x15">
      <x15ac:absPath xmlns:x15ac="http://schemas.microsoft.com/office/spreadsheetml/2010/11/ac" url="/Users/mahithakalinathabotla/Desktop/"/>
    </mc:Choice>
  </mc:AlternateContent>
  <xr:revisionPtr revIDLastSave="0" documentId="13_ncr:1_{1F5DE5AD-CD1C-A74F-867D-50225F61F897}" xr6:coauthVersionLast="47" xr6:coauthVersionMax="47" xr10:uidLastSave="{00000000-0000-0000-0000-000000000000}"/>
  <bookViews>
    <workbookView xWindow="0" yWindow="880" windowWidth="16980" windowHeight="19640" xr2:uid="{00000000-000D-0000-FFFF-FFFF00000000}"/>
  </bookViews>
  <sheets>
    <sheet name="Group 4" sheetId="9" r:id="rId1"/>
    <sheet name="Help" sheetId="6" r:id="rId2"/>
  </sheets>
  <definedNames>
    <definedName name="prevWBS" localSheetId="0">'Group 4'!$A1048576</definedName>
    <definedName name="_xlnm.Print_Area" localSheetId="0">'Group 4'!$A$1:$BN$29</definedName>
    <definedName name="_xlnm.Print_Titles" localSheetId="0">'Group 4'!$4:$7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9" l="1"/>
  <c r="F34" i="9"/>
  <c r="F35" i="9"/>
  <c r="F36" i="9"/>
  <c r="F37" i="9"/>
  <c r="F38" i="9"/>
  <c r="F39" i="9"/>
  <c r="F42" i="9"/>
  <c r="F43" i="9"/>
  <c r="F13" i="9"/>
  <c r="F14" i="9"/>
  <c r="A8" i="9"/>
  <c r="E10" i="9" l="1"/>
  <c r="E9" i="9"/>
  <c r="E38" i="9"/>
  <c r="E39" i="9"/>
  <c r="E34" i="9"/>
  <c r="E33" i="9"/>
  <c r="E35" i="9"/>
  <c r="E31" i="9"/>
  <c r="I31" i="9" s="1"/>
  <c r="E11" i="9"/>
  <c r="E14" i="9"/>
  <c r="E13" i="9"/>
  <c r="E12" i="9"/>
  <c r="E30" i="9"/>
  <c r="E29" i="9"/>
  <c r="E28" i="9"/>
  <c r="K6" i="9"/>
  <c r="K5" i="9" s="1"/>
  <c r="E8" i="9" l="1"/>
  <c r="I8" i="9" s="1"/>
  <c r="E24" i="9"/>
  <c r="E19" i="9"/>
  <c r="E15" i="9"/>
  <c r="K7" i="9" l="1"/>
  <c r="K4" i="9"/>
  <c r="L6" i="9" l="1"/>
  <c r="E17" i="9" l="1"/>
  <c r="E16" i="9"/>
  <c r="I16" i="9" s="1"/>
  <c r="E21" i="9"/>
  <c r="E20" i="9"/>
  <c r="I20" i="9" s="1"/>
  <c r="E26" i="9"/>
  <c r="E25" i="9"/>
  <c r="M6" i="9"/>
  <c r="E22" i="9"/>
  <c r="E27" i="9" l="1"/>
  <c r="N6" i="9"/>
  <c r="E23" i="9" l="1"/>
  <c r="O6" i="9"/>
  <c r="P6" i="9" l="1"/>
  <c r="L7" i="9"/>
  <c r="Q6" i="9" l="1"/>
  <c r="M7" i="9"/>
  <c r="R6" i="9" l="1"/>
  <c r="R5" i="9" s="1"/>
  <c r="N7" i="9"/>
  <c r="S6" i="9" l="1"/>
  <c r="O7" i="9"/>
  <c r="T6" i="9" l="1"/>
  <c r="P7" i="9"/>
  <c r="U6" i="9" l="1"/>
  <c r="Q7" i="9"/>
  <c r="V6" i="9" l="1"/>
  <c r="R7" i="9"/>
  <c r="R4" i="9"/>
  <c r="W6" i="9" l="1"/>
  <c r="S7" i="9"/>
  <c r="X6" i="9" l="1"/>
  <c r="T7" i="9"/>
  <c r="Y6" i="9" l="1"/>
  <c r="Y5" i="9" s="1"/>
  <c r="U7" i="9"/>
  <c r="Z6" i="9" l="1"/>
  <c r="V7" i="9"/>
  <c r="AA6" i="9" l="1"/>
  <c r="X7" i="9"/>
  <c r="W7" i="9"/>
  <c r="AB6" i="9" l="1"/>
  <c r="Y4" i="9"/>
  <c r="Y7" i="9"/>
  <c r="AC6" i="9" l="1"/>
  <c r="Z7" i="9"/>
  <c r="AD6" i="9" l="1"/>
  <c r="AA7" i="9"/>
  <c r="AE6" i="9" l="1"/>
  <c r="AB7" i="9"/>
  <c r="AF6" i="9" l="1"/>
  <c r="AF5" i="9" s="1"/>
  <c r="AC7" i="9"/>
  <c r="AG6" i="9" l="1"/>
  <c r="AD7" i="9"/>
  <c r="AH6" i="9" l="1"/>
  <c r="AE7" i="9"/>
  <c r="AI6" i="9" l="1"/>
  <c r="AF4" i="9"/>
  <c r="AF7" i="9"/>
  <c r="AJ6" i="9" l="1"/>
  <c r="AG7" i="9"/>
  <c r="AK6" i="9" l="1"/>
  <c r="AH7" i="9"/>
  <c r="AL6" i="9" l="1"/>
  <c r="AI7" i="9"/>
  <c r="AM6" i="9" l="1"/>
  <c r="AM5" i="9" s="1"/>
  <c r="AJ7" i="9"/>
  <c r="AN6" i="9" l="1"/>
  <c r="AK7" i="9"/>
  <c r="AO6" i="9" l="1"/>
  <c r="AL7" i="9"/>
  <c r="AP6" i="9" l="1"/>
  <c r="AM7" i="9"/>
  <c r="AM4" i="9"/>
  <c r="AQ6" i="9" l="1"/>
  <c r="AN7" i="9"/>
  <c r="AR6" i="9" l="1"/>
  <c r="AO7" i="9"/>
  <c r="AS6" i="9" l="1"/>
  <c r="AP7" i="9"/>
  <c r="AT6" i="9" l="1"/>
  <c r="AT5" i="9" s="1"/>
  <c r="AQ7" i="9"/>
  <c r="AU6" i="9" l="1"/>
  <c r="AR7" i="9"/>
  <c r="AV6" i="9" l="1"/>
  <c r="AS7" i="9"/>
  <c r="AW6" i="9" l="1"/>
  <c r="AT7" i="9"/>
  <c r="AT4" i="9"/>
  <c r="AX6" i="9" l="1"/>
  <c r="AU7" i="9"/>
  <c r="AY6" i="9" l="1"/>
  <c r="AV7" i="9"/>
  <c r="AZ6" i="9" l="1"/>
  <c r="AW7" i="9"/>
  <c r="BA6" i="9" l="1"/>
  <c r="BA5" i="9" s="1"/>
  <c r="AX7" i="9"/>
  <c r="BB6" i="9" l="1"/>
  <c r="AY7" i="9"/>
  <c r="BC6" i="9" l="1"/>
  <c r="AZ7" i="9"/>
  <c r="BD6" i="9" l="1"/>
  <c r="BA4" i="9"/>
  <c r="BA7" i="9"/>
  <c r="BE6" i="9" l="1"/>
  <c r="BB7" i="9"/>
  <c r="BF6" i="9" l="1"/>
  <c r="BC7" i="9"/>
  <c r="BG6" i="9" l="1"/>
  <c r="BD7" i="9"/>
  <c r="BH6" i="9" l="1"/>
  <c r="BH5" i="9" s="1"/>
  <c r="BE7" i="9"/>
  <c r="BI6" i="9" l="1"/>
  <c r="BF7" i="9"/>
  <c r="BJ6" i="9" l="1"/>
  <c r="BG7" i="9"/>
  <c r="BK6" i="9" l="1"/>
  <c r="BH4" i="9"/>
  <c r="BH7" i="9"/>
  <c r="BL6" i="9" l="1"/>
  <c r="BI7" i="9"/>
  <c r="BM6" i="9" l="1"/>
  <c r="BJ7" i="9"/>
  <c r="BN6" i="9" l="1"/>
  <c r="BK7" i="9"/>
  <c r="BL7" i="9" l="1"/>
  <c r="BM7" i="9" l="1"/>
  <c r="BN7" i="9" l="1"/>
  <c r="A9" i="9" l="1"/>
  <c r="A10" i="9" l="1"/>
  <c r="F10" i="9"/>
  <c r="A15" i="9"/>
  <c r="A16" i="9" s="1"/>
  <c r="A17" i="9" l="1"/>
  <c r="F18" i="9" s="1"/>
  <c r="F17" i="9"/>
  <c r="A11" i="9"/>
  <c r="F12" i="9" s="1"/>
  <c r="F11" i="9"/>
  <c r="A18" i="9" l="1"/>
  <c r="A19" i="9" s="1"/>
  <c r="A20" i="9" s="1"/>
  <c r="E18" i="9"/>
  <c r="A21" i="9" l="1"/>
  <c r="F21" i="9"/>
  <c r="A22" i="9" l="1"/>
  <c r="F22" i="9"/>
  <c r="A23" i="9" l="1"/>
  <c r="A24" i="9" s="1"/>
  <c r="A25" i="9" s="1"/>
  <c r="F23" i="9"/>
  <c r="A26" i="9" l="1"/>
  <c r="A27" i="9" s="1"/>
  <c r="A28" i="9" s="1"/>
  <c r="A29" i="9" s="1"/>
  <c r="F26" i="9"/>
  <c r="A30" i="9" l="1"/>
  <c r="F30" i="9"/>
  <c r="A31" i="9" l="1"/>
  <c r="F32" i="9" s="1"/>
  <c r="F3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rgb="FF000000"/>
            <rFont val="Tahoma"/>
            <family val="2"/>
          </rPr>
          <t>Work Breakdown Structure</t>
        </r>
        <r>
          <rPr>
            <sz val="9"/>
            <color rgb="FF000000"/>
            <rFont val="Tahoma"/>
            <family val="2"/>
          </rPr>
          <t xml:space="preserve">
</t>
        </r>
        <r>
          <rPr>
            <sz val="9"/>
            <color rgb="FF000000"/>
            <rFont val="Tahoma"/>
            <family val="2"/>
          </rPr>
          <t xml:space="preserve">Level 1: 1, 2, 3, ...
</t>
        </r>
        <r>
          <rPr>
            <sz val="9"/>
            <color rgb="FF000000"/>
            <rFont val="Tahoma"/>
            <family val="2"/>
          </rPr>
          <t xml:space="preserve">Level 2: 1.1, 1.2, 1.3, ...
</t>
        </r>
        <r>
          <rPr>
            <sz val="9"/>
            <color rgb="FF000000"/>
            <rFont val="Tahoma"/>
            <family val="2"/>
          </rPr>
          <t xml:space="preserve">Level 3: 1.1.1, 1.1.2, 1.1.3, …
</t>
        </r>
        <r>
          <rPr>
            <sz val="9"/>
            <color rgb="FF000000"/>
            <rFont val="Tahoma"/>
            <family val="2"/>
          </rPr>
          <t xml:space="preserve">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D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E7" authorId="1" shapeId="0" xr:uid="{00000000-0006-0000-0000-000006000000}">
      <text>
        <r>
          <rPr>
            <b/>
            <sz val="9"/>
            <color rgb="FF000000"/>
            <rFont val="Tahoma"/>
            <family val="2"/>
          </rPr>
          <t>End Date:</t>
        </r>
        <r>
          <rPr>
            <sz val="9"/>
            <color rgb="FF000000"/>
            <rFont val="Tahoma"/>
            <family val="2"/>
          </rPr>
          <t xml:space="preserve">
</t>
        </r>
        <r>
          <rPr>
            <sz val="9"/>
            <color rgb="FF000000"/>
            <rFont val="Tahoma"/>
            <family val="2"/>
          </rPr>
          <t>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<sst xmlns="http://schemas.openxmlformats.org/spreadsheetml/2006/main" count="144" uniqueCount="132">
  <si>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</si>
  <si>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</si>
  <si>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</si>
  <si>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</si>
  <si>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</si>
  <si>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</si>
  <si>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</si>
  <si>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</si>
  <si>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</si>
  <si>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</si>
  <si>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</si>
  <si>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</si>
  <si>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</si>
  <si>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</si>
  <si>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</si>
  <si>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</si>
  <si>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</si>
  <si>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</si>
  <si>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</si>
  <si>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</si>
  <si>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https://www.vertex42.com/ExcelTemplates/excel-gantt-chart.html</t>
  </si>
  <si>
    <t>© 2006-2018 Vertex42 LLC</t>
  </si>
  <si>
    <t>Watch Demo Videos of the Pro Version on Vertex42.com</t>
  </si>
  <si>
    <t>Please read the license agreement in the TermsOfUse worksheet to learn how you may or may not use and share this spreadsheet.</t>
  </si>
  <si>
    <t>TASK</t>
  </si>
  <si>
    <t>START</t>
  </si>
  <si>
    <t>END</t>
  </si>
  <si>
    <t>% DONE</t>
  </si>
  <si>
    <t>WORK DAYS</t>
  </si>
  <si>
    <t>PREDECESSOR</t>
  </si>
  <si>
    <t xml:space="preserve">Display Week </t>
  </si>
  <si>
    <t xml:space="preserve">Project Start Date </t>
  </si>
  <si>
    <t xml:space="preserve">Project Lead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</si>
  <si>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</si>
  <si>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</si>
  <si>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</si>
  <si>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</si>
  <si>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</si>
  <si>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</si>
  <si>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</si>
  <si>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</si>
  <si>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</si>
  <si>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</si>
  <si>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</si>
  <si>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</si>
  <si>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</si>
  <si>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</si>
  <si>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</si>
  <si>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</si>
  <si>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</si>
  <si>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</si>
  <si>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</si>
  <si>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</si>
  <si>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</si>
  <si>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</si>
  <si>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</si>
  <si>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</si>
  <si>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</si>
  <si>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</si>
  <si>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</si>
  <si>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</si>
  <si>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</si>
  <si>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</si>
  <si>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</si>
  <si>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</si>
  <si>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</si>
  <si>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</si>
  <si>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</si>
  <si>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</si>
  <si>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</si>
  <si>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</si>
  <si>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</si>
  <si>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</si>
  <si>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</si>
  <si>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</si>
  <si>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</si>
  <si>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</si>
  <si>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</si>
  <si>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</si>
  <si>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</si>
  <si>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</si>
  <si>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</si>
  <si>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</si>
  <si>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</si>
  <si>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</si>
  <si>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</si>
  <si>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</si>
  <si>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Dependency</t>
  </si>
  <si>
    <t>DURATION DAYS</t>
  </si>
  <si>
    <t>Project Charter Approval</t>
  </si>
  <si>
    <t xml:space="preserve">Announce vendor opportunity </t>
  </si>
  <si>
    <t>Finalize project goals</t>
  </si>
  <si>
    <t xml:space="preserve">Review charter with team and supervisor </t>
  </si>
  <si>
    <t>Inspect suitable camous areas</t>
  </si>
  <si>
    <t xml:space="preserve">Confirm in scope and out -of-scope </t>
  </si>
  <si>
    <t xml:space="preserve">Get facility approval for chosen space </t>
  </si>
  <si>
    <t xml:space="preserve">Vendor Selection </t>
  </si>
  <si>
    <t>Evaluate proposal and shortlist vendors</t>
  </si>
  <si>
    <t>Final 2-3 vendors</t>
  </si>
  <si>
    <t>Space Setup</t>
  </si>
  <si>
    <t xml:space="preserve">Layout planning and utility arrangement </t>
  </si>
  <si>
    <t xml:space="preserve">install seating, microwaves, signage </t>
  </si>
  <si>
    <t xml:space="preserve">water stations </t>
  </si>
  <si>
    <t xml:space="preserve">Perform safety and accessiblity checks </t>
  </si>
  <si>
    <t>Vendor Contract Finalized</t>
  </si>
  <si>
    <t>Short term agreements draft</t>
  </si>
  <si>
    <t>review legal and procurement requriements</t>
  </si>
  <si>
    <t>get signatures from all vendors</t>
  </si>
  <si>
    <t xml:space="preserve">Launch </t>
  </si>
  <si>
    <t xml:space="preserve">Run marketing and awareness campagin </t>
  </si>
  <si>
    <t>conduct soft opening to test operations</t>
  </si>
  <si>
    <t xml:space="preserve">host official launch event </t>
  </si>
  <si>
    <t>Survey and Feedback Collection</t>
  </si>
  <si>
    <t>prepare student and vendor surveys</t>
  </si>
  <si>
    <t>collect and analyze responses</t>
  </si>
  <si>
    <t>identify improvement points</t>
  </si>
  <si>
    <t xml:space="preserve">Final Report and Closeout </t>
  </si>
  <si>
    <t>review with administration</t>
  </si>
  <si>
    <t xml:space="preserve">submit final report and presentation </t>
  </si>
  <si>
    <t xml:space="preserve">Compile performance data and financials </t>
  </si>
  <si>
    <t>Offical approval from admin</t>
  </si>
  <si>
    <t xml:space="preserve">Deepthi, Divya, Priya and Mahitha </t>
  </si>
  <si>
    <t>Tue 11/11/2025</t>
  </si>
  <si>
    <t>_</t>
  </si>
  <si>
    <t>M1</t>
  </si>
  <si>
    <t>M2</t>
  </si>
  <si>
    <t>M3</t>
  </si>
  <si>
    <t>Charter Approved</t>
  </si>
  <si>
    <t xml:space="preserve">Launch Day </t>
  </si>
  <si>
    <t xml:space="preserve">Project Closeout </t>
  </si>
  <si>
    <t xml:space="preserve">Milestone </t>
  </si>
  <si>
    <t>DownTown DineHub Project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</si>
</sst>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8"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8"/>
      <color theme="3"/>
      <name val="Arial"/>
      <family val="2"/>
    </font>
    <font>
      <sz val="18"/>
      <color theme="4" tint="-0.249977111117893"/>
      <name val="Arial"/>
      <family val="2"/>
    </font>
    <font>
      <b/>
      <sz val="12"/>
      <color theme="4" tint="-0.249977111117893"/>
      <name val="Arial"/>
      <family val="2"/>
    </font>
    <font>
      <b/>
      <sz val="11"/>
      <name val="Arial"/>
      <family val="2"/>
    </font>
    <font>
      <u/>
      <sz val="11"/>
      <color indexed="12"/>
      <name val="Arial"/>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b/>
      <sz val="11"/>
      <color rgb="FF000000"/>
      <name val="Arial"/>
      <family val="2"/>
      <scheme val="min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
      <sz val="12"/>
      <name val="Arial"/>
      <family val="2"/>
      <scheme val="minor"/>
    </font>
    <font>
      <sz val="12"/>
      <color rgb="FF000000"/>
      <name val="Arial"/>
      <family val="2"/>
      <scheme val="minor"/>
    </font>
    <font>
      <sz val="16"/>
      <color theme="3" tint="-0.249977111117893"/>
      <name val="Arial (Headings)"/>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tint="-0.249977111117893"/>
        <bgColor rgb="FFD6F4D9"/>
      </patternFill>
    </fill>
    <fill>
      <patternFill patternType="solid">
        <fgColor theme="3" tint="0.59999389629810485"/>
        <bgColor indexed="64"/>
      </patternFill>
    </fill>
    <fill>
      <patternFill patternType="solid">
        <fgColor theme="0" tint="-0.34998626667073579"/>
        <bgColor rgb="FFD9D9D9"/>
      </patternFill>
    </fill>
    <fill>
      <patternFill patternType="solid">
        <fgColor theme="0" tint="-0.34998626667073579"/>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66">
    <xf numFmtId="0" fontId="0" fillId="0" borderId="0" xfId="0"/>
    <xf numFmtId="0" fontId="0" fillId="20" borderId="0" xfId="0" applyFill="1"/>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3" fillId="0" borderId="0" xfId="0" applyFont="1" applyAlignment="1">
      <alignment wrapText="1"/>
    </xf>
    <xf numFmtId="0" fontId="9" fillId="0" borderId="0" xfId="0" applyFont="1" applyProtection="1">
      <protection locked="0"/>
    </xf>
    <xf numFmtId="0" fontId="3" fillId="0" borderId="0" xfId="0" applyFont="1" applyAlignment="1">
      <alignment horizontal="left" vertical="center"/>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30" fillId="0" borderId="0" xfId="0" applyFont="1"/>
    <xf numFmtId="0" fontId="29" fillId="0" borderId="0" xfId="0" applyFont="1" applyAlignment="1">
      <alignment horizontal="left" vertical="center"/>
    </xf>
    <xf numFmtId="0" fontId="28" fillId="0" borderId="0" xfId="0" applyFont="1" applyAlignment="1">
      <alignment horizontal="left" vertical="center"/>
    </xf>
    <xf numFmtId="0" fontId="8" fillId="0" borderId="0" xfId="0" applyFont="1" applyAlignment="1" applyProtection="1">
      <alignment vertical="center"/>
      <protection locked="0"/>
    </xf>
    <xf numFmtId="0" fontId="36" fillId="0" borderId="0" xfId="0" applyFont="1"/>
    <xf numFmtId="0" fontId="37" fillId="0" borderId="0" xfId="0" applyFont="1" applyAlignment="1" applyProtection="1">
      <alignment vertical="center"/>
      <protection locked="0"/>
    </xf>
    <xf numFmtId="0" fontId="39" fillId="22" borderId="10" xfId="0" applyFont="1" applyFill="1" applyBorder="1" applyAlignment="1">
      <alignment horizontal="left" vertical="center"/>
    </xf>
    <xf numFmtId="0" fontId="39" fillId="22" borderId="10" xfId="0" applyFont="1" applyFill="1" applyBorder="1" applyAlignment="1">
      <alignment vertical="center"/>
    </xf>
    <xf numFmtId="0" fontId="35" fillId="22" borderId="10" xfId="0" applyFont="1" applyFill="1" applyBorder="1" applyAlignment="1">
      <alignment vertical="center"/>
    </xf>
    <xf numFmtId="0" fontId="35" fillId="22" borderId="10" xfId="0" applyFont="1" applyFill="1" applyBorder="1" applyAlignment="1">
      <alignment horizontal="center" vertical="center"/>
    </xf>
    <xf numFmtId="1" fontId="35" fillId="22" borderId="10" xfId="40" applyNumberFormat="1" applyFont="1" applyFill="1" applyBorder="1" applyAlignment="1" applyProtection="1">
      <alignment horizontal="center" vertical="center"/>
    </xf>
    <xf numFmtId="9" fontId="35" fillId="22" borderId="10" xfId="40" applyFont="1" applyFill="1" applyBorder="1" applyAlignment="1" applyProtection="1">
      <alignment horizontal="center" vertical="center"/>
    </xf>
    <xf numFmtId="1" fontId="35" fillId="22" borderId="10" xfId="0" applyNumberFormat="1" applyFont="1" applyFill="1" applyBorder="1" applyAlignment="1">
      <alignment horizontal="center" vertical="center"/>
    </xf>
    <xf numFmtId="0" fontId="35" fillId="0" borderId="10" xfId="0" applyFont="1" applyBorder="1" applyAlignment="1">
      <alignment horizontal="left" vertical="center"/>
    </xf>
    <xf numFmtId="0" fontId="35" fillId="0" borderId="10" xfId="0" applyFont="1" applyBorder="1" applyAlignment="1">
      <alignment vertical="center"/>
    </xf>
    <xf numFmtId="1" fontId="40" fillId="0" borderId="11" xfId="0" applyNumberFormat="1" applyFont="1" applyBorder="1" applyAlignment="1">
      <alignment horizontal="center" vertical="center"/>
    </xf>
    <xf numFmtId="0" fontId="35" fillId="0" borderId="0" xfId="0" applyFont="1" applyAlignment="1">
      <alignment vertical="center"/>
    </xf>
    <xf numFmtId="0" fontId="42" fillId="0" borderId="0" xfId="0" applyFont="1" applyAlignment="1">
      <alignment vertical="center"/>
    </xf>
    <xf numFmtId="0" fontId="35" fillId="22" borderId="0" xfId="0" applyFont="1" applyFill="1" applyAlignment="1">
      <alignment vertical="center"/>
    </xf>
    <xf numFmtId="0" fontId="40" fillId="0" borderId="11" xfId="0" quotePrefix="1" applyFont="1" applyBorder="1" applyAlignment="1">
      <alignment horizontal="center" vertical="center"/>
    </xf>
    <xf numFmtId="166" fontId="3" fillId="0" borderId="12" xfId="0" applyNumberFormat="1" applyFont="1" applyBorder="1" applyAlignment="1">
      <alignment horizontal="center" vertical="center" shrinkToFit="1"/>
    </xf>
    <xf numFmtId="0" fontId="39" fillId="22" borderId="13" xfId="0" applyFont="1" applyFill="1" applyBorder="1" applyAlignment="1">
      <alignment horizontal="left" vertical="center"/>
    </xf>
    <xf numFmtId="0" fontId="39" fillId="22" borderId="13" xfId="0" applyFont="1" applyFill="1" applyBorder="1" applyAlignment="1">
      <alignment vertical="center"/>
    </xf>
    <xf numFmtId="0" fontId="35" fillId="22" borderId="13" xfId="0" applyFont="1" applyFill="1" applyBorder="1" applyAlignment="1">
      <alignment horizontal="center" vertical="center"/>
    </xf>
    <xf numFmtId="165" fontId="35" fillId="22" borderId="13" xfId="0" applyNumberFormat="1" applyFont="1" applyFill="1" applyBorder="1" applyAlignment="1">
      <alignment horizontal="right" vertical="center"/>
    </xf>
    <xf numFmtId="1" fontId="35" fillId="22" borderId="13" xfId="40" applyNumberFormat="1" applyFont="1" applyFill="1" applyBorder="1" applyAlignment="1" applyProtection="1">
      <alignment horizontal="center" vertical="center"/>
    </xf>
    <xf numFmtId="9" fontId="35" fillId="22" borderId="13" xfId="40" applyFont="1" applyFill="1" applyBorder="1" applyAlignment="1" applyProtection="1">
      <alignment horizontal="center" vertical="center"/>
    </xf>
    <xf numFmtId="1" fontId="35" fillId="22"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44" fillId="22" borderId="13" xfId="0" applyNumberFormat="1" applyFont="1" applyFill="1" applyBorder="1" applyAlignment="1">
      <alignment horizontal="center" vertical="center"/>
    </xf>
    <xf numFmtId="1" fontId="45" fillId="0" borderId="11" xfId="0" applyNumberFormat="1" applyFont="1" applyBorder="1" applyAlignment="1">
      <alignment horizontal="center" vertical="center"/>
    </xf>
    <xf numFmtId="1" fontId="44" fillId="22" borderId="10" xfId="0" applyNumberFormat="1" applyFont="1" applyFill="1" applyBorder="1" applyAlignment="1">
      <alignment horizontal="center" vertical="center"/>
    </xf>
    <xf numFmtId="165" fontId="40" fillId="0" borderId="11" xfId="0" applyNumberFormat="1" applyFont="1" applyBorder="1" applyAlignment="1">
      <alignment horizontal="center" vertical="center"/>
    </xf>
    <xf numFmtId="165" fontId="35" fillId="22" borderId="10" xfId="0" applyNumberFormat="1" applyFont="1" applyFill="1" applyBorder="1" applyAlignment="1">
      <alignment horizontal="center" vertical="center"/>
    </xf>
    <xf numFmtId="0" fontId="35" fillId="22" borderId="13" xfId="0" applyFont="1" applyFill="1" applyBorder="1" applyAlignment="1">
      <alignment horizontal="left" vertical="center"/>
    </xf>
    <xf numFmtId="0" fontId="35" fillId="22" borderId="10" xfId="0" applyFont="1" applyFill="1" applyBorder="1" applyAlignment="1">
      <alignment horizontal="left" vertical="center"/>
    </xf>
    <xf numFmtId="0" fontId="46" fillId="0" borderId="0" xfId="0" applyFont="1"/>
    <xf numFmtId="0" fontId="46" fillId="0" borderId="0" xfId="0" applyFont="1" applyAlignment="1">
      <alignment horizontal="right" vertical="center"/>
    </xf>
    <xf numFmtId="165" fontId="35" fillId="22" borderId="13" xfId="0" applyNumberFormat="1" applyFont="1" applyFill="1" applyBorder="1" applyAlignment="1">
      <alignment horizontal="center" vertical="center"/>
    </xf>
    <xf numFmtId="0" fontId="47" fillId="0" borderId="17" xfId="0" applyFont="1" applyBorder="1" applyAlignment="1">
      <alignment horizontal="left" vertical="center"/>
    </xf>
    <xf numFmtId="0" fontId="47" fillId="0" borderId="17" xfId="0" applyFont="1" applyBorder="1" applyAlignment="1">
      <alignment horizontal="center" vertical="center" wrapText="1"/>
    </xf>
    <xf numFmtId="0" fontId="48" fillId="0" borderId="17" xfId="0" applyFont="1" applyBorder="1" applyAlignment="1">
      <alignment horizontal="center" vertical="center" wrapText="1"/>
    </xf>
    <xf numFmtId="0" fontId="47" fillId="0" borderId="17" xfId="0" applyFont="1" applyBorder="1" applyAlignment="1">
      <alignment horizontal="center" vertical="center"/>
    </xf>
    <xf numFmtId="0" fontId="35" fillId="0" borderId="18" xfId="0" applyFont="1" applyBorder="1" applyAlignment="1">
      <alignment horizontal="center" vertical="center" shrinkToFit="1"/>
    </xf>
    <xf numFmtId="0" fontId="35" fillId="0" borderId="19" xfId="0" applyFont="1" applyBorder="1" applyAlignment="1">
      <alignment horizontal="center" vertical="center" shrinkToFit="1"/>
    </xf>
    <xf numFmtId="0" fontId="35" fillId="0" borderId="20" xfId="0" applyFont="1" applyBorder="1" applyAlignment="1">
      <alignment horizontal="center" vertical="center" shrinkToFit="1"/>
    </xf>
    <xf numFmtId="0" fontId="35" fillId="0" borderId="10" xfId="0" applyFont="1" applyBorder="1" applyAlignment="1">
      <alignment vertical="center" wrapText="1"/>
    </xf>
    <xf numFmtId="0" fontId="40" fillId="0" borderId="11" xfId="0" applyFont="1" applyBorder="1" applyAlignment="1">
      <alignment horizontal="center" vertical="center"/>
    </xf>
    <xf numFmtId="0" fontId="35" fillId="0" borderId="10" xfId="0" applyFont="1" applyBorder="1" applyAlignment="1">
      <alignment horizontal="left" vertical="center" wrapText="1" indent="1"/>
    </xf>
    <xf numFmtId="0" fontId="38"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51" fillId="0" borderId="0" xfId="0" applyFont="1"/>
    <xf numFmtId="0" fontId="1" fillId="0" borderId="0" xfId="0" applyFont="1" applyAlignment="1">
      <alignment vertical="center"/>
    </xf>
    <xf numFmtId="0" fontId="1" fillId="23" borderId="0" xfId="0" applyFont="1" applyFill="1" applyAlignment="1">
      <alignment horizontal="center" vertical="center"/>
    </xf>
    <xf numFmtId="0" fontId="1" fillId="21" borderId="0" xfId="0" applyFont="1" applyFill="1" applyAlignment="1">
      <alignment horizontal="center" vertical="center"/>
    </xf>
    <xf numFmtId="0" fontId="52" fillId="0" borderId="0" xfId="0" applyFont="1" applyAlignment="1">
      <alignment wrapText="1"/>
    </xf>
    <xf numFmtId="0" fontId="32" fillId="0" borderId="0" xfId="34" applyFont="1" applyAlignment="1" applyProtection="1"/>
    <xf numFmtId="0" fontId="52" fillId="0" borderId="0" xfId="0" applyFont="1" applyAlignment="1">
      <alignment horizontal="left" wrapText="1"/>
    </xf>
    <xf numFmtId="0" fontId="52" fillId="0" borderId="0" xfId="0" applyFont="1" applyAlignment="1">
      <alignment vertical="center" wrapText="1"/>
    </xf>
    <xf numFmtId="0" fontId="53" fillId="0" borderId="0" xfId="0" applyFont="1" applyAlignment="1">
      <alignment vertical="center"/>
    </xf>
    <xf numFmtId="0" fontId="53" fillId="0" borderId="0" xfId="0" applyFont="1"/>
    <xf numFmtId="0" fontId="54" fillId="0" borderId="0" xfId="0" applyFont="1" applyAlignment="1">
      <alignment vertical="center" wrapText="1"/>
    </xf>
    <xf numFmtId="0" fontId="32" fillId="0" borderId="0" xfId="34" applyFont="1" applyFill="1" applyBorder="1" applyAlignment="1" applyProtection="1">
      <alignment vertical="center"/>
    </xf>
    <xf numFmtId="0" fontId="56" fillId="0" borderId="0" xfId="0" applyFont="1" applyAlignment="1">
      <alignment horizontal="right"/>
    </xf>
    <xf numFmtId="0" fontId="52" fillId="0" borderId="0" xfId="0" applyFont="1"/>
    <xf numFmtId="0" fontId="52" fillId="0" borderId="0" xfId="0" applyFont="1" applyAlignment="1">
      <alignment horizontal="left" indent="1"/>
    </xf>
    <xf numFmtId="0" fontId="52" fillId="0" borderId="0" xfId="0" quotePrefix="1" applyFont="1" applyAlignment="1">
      <alignment horizontal="left" wrapText="1" indent="1"/>
    </xf>
    <xf numFmtId="0" fontId="31" fillId="0" borderId="0" xfId="0" quotePrefix="1" applyFont="1" applyAlignment="1">
      <alignment horizontal="left" indent="1"/>
    </xf>
    <xf numFmtId="0" fontId="56" fillId="0" borderId="0" xfId="0" applyFont="1" applyAlignment="1">
      <alignment horizontal="left" wrapText="1"/>
    </xf>
    <xf numFmtId="0" fontId="52" fillId="0" borderId="0" xfId="0" applyFont="1" applyAlignment="1">
      <alignment horizontal="left" vertical="center" wrapText="1"/>
    </xf>
    <xf numFmtId="0" fontId="58" fillId="0" borderId="0" xfId="0" applyFont="1" applyAlignment="1">
      <alignment horizontal="right"/>
    </xf>
    <xf numFmtId="0" fontId="59" fillId="0" borderId="0" xfId="0" applyFont="1" applyAlignment="1">
      <alignment vertical="center" wrapText="1"/>
    </xf>
    <xf numFmtId="0" fontId="52" fillId="0" borderId="0" xfId="0" quotePrefix="1" applyFont="1" applyAlignment="1">
      <alignment wrapText="1"/>
    </xf>
    <xf numFmtId="0" fontId="59" fillId="0" borderId="0" xfId="0" applyFont="1"/>
    <xf numFmtId="0" fontId="10" fillId="0" borderId="0" xfId="0" applyFont="1" applyProtection="1">
      <protection locked="0"/>
    </xf>
    <xf numFmtId="0" fontId="58" fillId="0" borderId="0" xfId="0" applyFont="1"/>
    <xf numFmtId="0" fontId="40" fillId="0" borderId="0" xfId="0" applyFont="1" applyAlignment="1">
      <alignment vertical="center"/>
    </xf>
    <xf numFmtId="0" fontId="1" fillId="0" borderId="0" xfId="0" applyFont="1" applyProtection="1">
      <protection locked="0"/>
    </xf>
    <xf numFmtId="0" fontId="35" fillId="24" borderId="10" xfId="0" applyFont="1" applyFill="1" applyBorder="1" applyAlignment="1">
      <alignment horizontal="left" vertical="center"/>
    </xf>
    <xf numFmtId="165" fontId="40" fillId="24" borderId="11" xfId="0" applyNumberFormat="1" applyFont="1" applyFill="1" applyBorder="1" applyAlignment="1">
      <alignment horizontal="center" vertical="center"/>
    </xf>
    <xf numFmtId="0" fontId="0" fillId="24" borderId="0" xfId="0" applyFill="1" applyProtection="1">
      <protection locked="0"/>
    </xf>
    <xf numFmtId="0" fontId="66" fillId="24" borderId="11" xfId="0" quotePrefix="1" applyFont="1" applyFill="1" applyBorder="1" applyAlignment="1">
      <alignment horizontal="center" vertical="center"/>
    </xf>
    <xf numFmtId="165" fontId="66" fillId="25" borderId="11" xfId="0" applyNumberFormat="1" applyFont="1" applyFill="1" applyBorder="1" applyAlignment="1">
      <alignment horizontal="center" vertical="center"/>
    </xf>
    <xf numFmtId="1" fontId="66" fillId="24" borderId="11" xfId="0" applyNumberFormat="1" applyFont="1" applyFill="1" applyBorder="1" applyAlignment="1">
      <alignment horizontal="center" vertical="center"/>
    </xf>
    <xf numFmtId="9" fontId="66" fillId="24" borderId="11" xfId="40" applyFont="1" applyFill="1" applyBorder="1" applyAlignment="1" applyProtection="1">
      <alignment horizontal="center" vertical="center"/>
    </xf>
    <xf numFmtId="0" fontId="65" fillId="24" borderId="0" xfId="0" applyFont="1" applyFill="1" applyProtection="1">
      <protection locked="0"/>
    </xf>
    <xf numFmtId="0" fontId="39" fillId="24" borderId="10" xfId="0" applyFont="1" applyFill="1" applyBorder="1" applyAlignment="1">
      <alignment horizontal="left" vertical="center"/>
    </xf>
    <xf numFmtId="0" fontId="39" fillId="24" borderId="10" xfId="0" applyFont="1" applyFill="1" applyBorder="1" applyAlignment="1">
      <alignment vertical="center"/>
    </xf>
    <xf numFmtId="0" fontId="35" fillId="24" borderId="10" xfId="0" applyFont="1" applyFill="1" applyBorder="1" applyAlignment="1">
      <alignment horizontal="center" vertical="center"/>
    </xf>
    <xf numFmtId="165" fontId="35" fillId="24" borderId="10" xfId="0" applyNumberFormat="1" applyFont="1" applyFill="1" applyBorder="1" applyAlignment="1">
      <alignment horizontal="center" vertical="center"/>
    </xf>
    <xf numFmtId="1" fontId="35" fillId="24" borderId="10" xfId="40" applyNumberFormat="1" applyFont="1" applyFill="1" applyBorder="1" applyAlignment="1" applyProtection="1">
      <alignment horizontal="center" vertical="center"/>
    </xf>
    <xf numFmtId="9" fontId="35" fillId="24" borderId="10" xfId="40" applyFont="1" applyFill="1" applyBorder="1" applyAlignment="1" applyProtection="1">
      <alignment horizontal="center" vertical="center"/>
    </xf>
    <xf numFmtId="1" fontId="35" fillId="24" borderId="10" xfId="0" applyNumberFormat="1" applyFont="1" applyFill="1" applyBorder="1" applyAlignment="1">
      <alignment horizontal="center" vertical="center"/>
    </xf>
    <xf numFmtId="1" fontId="44" fillId="24" borderId="10" xfId="0" applyNumberFormat="1" applyFont="1" applyFill="1" applyBorder="1" applyAlignment="1">
      <alignment horizontal="center" vertical="center"/>
    </xf>
    <xf numFmtId="0" fontId="35" fillId="24" borderId="0" xfId="0" applyFont="1" applyFill="1" applyAlignment="1">
      <alignment vertical="center"/>
    </xf>
    <xf numFmtId="9" fontId="40" fillId="0" borderId="11" xfId="40" applyFont="1" applyFill="1" applyBorder="1" applyAlignment="1" applyProtection="1">
      <alignment horizontal="center" vertical="center"/>
    </xf>
    <xf numFmtId="0" fontId="38" fillId="0" borderId="0" xfId="0" applyFont="1" applyAlignment="1">
      <alignment vertical="center"/>
    </xf>
    <xf numFmtId="0" fontId="38" fillId="0" borderId="10" xfId="0" applyFont="1" applyBorder="1" applyAlignment="1">
      <alignment horizontal="left" vertical="center"/>
    </xf>
    <xf numFmtId="0" fontId="41" fillId="0" borderId="11" xfId="0" applyFont="1" applyBorder="1" applyAlignment="1">
      <alignment vertical="center"/>
    </xf>
    <xf numFmtId="0" fontId="49" fillId="24" borderId="11" xfId="0" applyFont="1" applyFill="1" applyBorder="1" applyAlignment="1">
      <alignment horizontal="left" vertical="center"/>
    </xf>
    <xf numFmtId="9" fontId="35" fillId="0" borderId="0" xfId="0" applyNumberFormat="1" applyFont="1" applyAlignment="1">
      <alignment vertical="center"/>
    </xf>
    <xf numFmtId="14" fontId="35" fillId="0" borderId="0" xfId="0" applyNumberFormat="1" applyFont="1" applyAlignment="1">
      <alignment horizontal="center" vertical="center"/>
    </xf>
    <xf numFmtId="14" fontId="0" fillId="0" borderId="0" xfId="0" applyNumberFormat="1" applyProtection="1">
      <protection locked="0"/>
    </xf>
    <xf numFmtId="0" fontId="67" fillId="0" borderId="0" xfId="0" applyFont="1" applyAlignment="1" applyProtection="1">
      <alignment vertical="center"/>
      <protection locked="0"/>
    </xf>
    <xf numFmtId="2" fontId="8" fillId="0" borderId="0" xfId="0" applyNumberFormat="1" applyFont="1" applyAlignment="1" applyProtection="1">
      <alignment vertical="center"/>
      <protection locked="0"/>
    </xf>
    <xf numFmtId="2" fontId="10" fillId="0" borderId="0" xfId="0" applyNumberFormat="1" applyFont="1" applyProtection="1">
      <protection locked="0"/>
    </xf>
    <xf numFmtId="2" fontId="0" fillId="0" borderId="0" xfId="0" applyNumberFormat="1"/>
    <xf numFmtId="2" fontId="46" fillId="0" borderId="0" xfId="0" applyNumberFormat="1" applyFont="1"/>
    <xf numFmtId="2" fontId="36" fillId="0" borderId="0" xfId="0" applyNumberFormat="1" applyFont="1"/>
    <xf numFmtId="2" fontId="47" fillId="0" borderId="17" xfId="0" applyNumberFormat="1" applyFont="1" applyBorder="1" applyAlignment="1">
      <alignment horizontal="center" vertical="center"/>
    </xf>
    <xf numFmtId="2" fontId="35" fillId="22" borderId="13" xfId="0" applyNumberFormat="1" applyFont="1" applyFill="1" applyBorder="1" applyAlignment="1">
      <alignment horizontal="center" vertical="center"/>
    </xf>
    <xf numFmtId="2" fontId="40" fillId="0" borderId="11" xfId="0" applyNumberFormat="1" applyFont="1" applyBorder="1" applyAlignment="1">
      <alignment horizontal="center" vertical="center"/>
    </xf>
    <xf numFmtId="2" fontId="35" fillId="22" borderId="10" xfId="0" applyNumberFormat="1" applyFont="1" applyFill="1" applyBorder="1" applyAlignment="1">
      <alignment horizontal="center" vertical="center"/>
    </xf>
    <xf numFmtId="2" fontId="35" fillId="24" borderId="10" xfId="0" applyNumberFormat="1" applyFont="1" applyFill="1" applyBorder="1" applyAlignment="1">
      <alignment horizontal="center" vertical="center"/>
    </xf>
    <xf numFmtId="14" fontId="35" fillId="0" borderId="0" xfId="0" applyNumberFormat="1" applyFont="1" applyAlignment="1">
      <alignment vertical="center"/>
    </xf>
    <xf numFmtId="0" fontId="35" fillId="26" borderId="10" xfId="0" applyFont="1" applyFill="1" applyBorder="1" applyAlignment="1">
      <alignment vertical="center" wrapText="1"/>
    </xf>
    <xf numFmtId="0" fontId="35" fillId="26" borderId="10" xfId="0" applyFont="1" applyFill="1" applyBorder="1" applyAlignment="1">
      <alignment horizontal="left" vertical="center"/>
    </xf>
    <xf numFmtId="0" fontId="35" fillId="26" borderId="10" xfId="0" applyFont="1" applyFill="1" applyBorder="1" applyAlignment="1">
      <alignment vertical="center"/>
    </xf>
    <xf numFmtId="0" fontId="40" fillId="26" borderId="11" xfId="0" applyFont="1" applyFill="1" applyBorder="1" applyAlignment="1">
      <alignment horizontal="center" vertical="center"/>
    </xf>
    <xf numFmtId="165" fontId="40" fillId="26" borderId="11" xfId="0" applyNumberFormat="1" applyFont="1" applyFill="1" applyBorder="1" applyAlignment="1">
      <alignment horizontal="center" vertical="center"/>
    </xf>
    <xf numFmtId="2" fontId="40" fillId="26" borderId="11" xfId="0" applyNumberFormat="1" applyFont="1" applyFill="1" applyBorder="1" applyAlignment="1">
      <alignment horizontal="center" vertical="center"/>
    </xf>
    <xf numFmtId="1" fontId="40" fillId="26" borderId="11" xfId="0" applyNumberFormat="1" applyFont="1" applyFill="1" applyBorder="1" applyAlignment="1">
      <alignment horizontal="center" vertical="center"/>
    </xf>
    <xf numFmtId="9" fontId="40" fillId="26" borderId="11" xfId="40" applyFont="1" applyFill="1" applyBorder="1" applyAlignment="1" applyProtection="1">
      <alignment horizontal="center" vertical="center"/>
    </xf>
    <xf numFmtId="1" fontId="45" fillId="26" borderId="11" xfId="0" applyNumberFormat="1" applyFont="1" applyFill="1" applyBorder="1" applyAlignment="1">
      <alignment horizontal="center" vertical="center"/>
    </xf>
    <xf numFmtId="9" fontId="35" fillId="26" borderId="10" xfId="0" applyNumberFormat="1" applyFont="1" applyFill="1" applyBorder="1" applyAlignment="1">
      <alignment horizontal="left" vertical="center"/>
    </xf>
    <xf numFmtId="0" fontId="35" fillId="26" borderId="0" xfId="0" applyFont="1" applyFill="1" applyAlignment="1">
      <alignment vertical="center"/>
    </xf>
    <xf numFmtId="0" fontId="0" fillId="26" borderId="0" xfId="0" applyFill="1"/>
    <xf numFmtId="0" fontId="1" fillId="26" borderId="0" xfId="0" applyFont="1" applyFill="1"/>
    <xf numFmtId="14" fontId="0" fillId="26" borderId="0" xfId="0" applyNumberFormat="1" applyFill="1"/>
    <xf numFmtId="9" fontId="35" fillId="26" borderId="0" xfId="0" applyNumberFormat="1" applyFont="1" applyFill="1" applyAlignment="1">
      <alignment vertical="center"/>
    </xf>
    <xf numFmtId="0" fontId="49" fillId="27" borderId="0" xfId="0" applyFont="1" applyFill="1" applyAlignment="1">
      <alignment vertical="center"/>
    </xf>
    <xf numFmtId="0" fontId="39" fillId="28" borderId="0" xfId="0" applyFont="1" applyFill="1" applyAlignment="1">
      <alignment vertical="center"/>
    </xf>
    <xf numFmtId="0" fontId="41" fillId="27" borderId="0" xfId="0" applyFont="1" applyFill="1" applyAlignment="1">
      <alignment vertical="center"/>
    </xf>
    <xf numFmtId="0" fontId="41" fillId="27" borderId="0" xfId="0" applyFont="1" applyFill="1" applyAlignment="1">
      <alignment horizontal="center" vertical="center"/>
    </xf>
    <xf numFmtId="165" fontId="40" fillId="28" borderId="11" xfId="0" applyNumberFormat="1" applyFont="1" applyFill="1" applyBorder="1" applyAlignment="1">
      <alignment horizontal="center" vertical="center"/>
    </xf>
    <xf numFmtId="2" fontId="40" fillId="28" borderId="11" xfId="0" applyNumberFormat="1" applyFont="1" applyFill="1" applyBorder="1" applyAlignment="1">
      <alignment horizontal="center" vertical="center"/>
    </xf>
    <xf numFmtId="0" fontId="42" fillId="28" borderId="0" xfId="0" applyFont="1" applyFill="1" applyAlignment="1">
      <alignment vertical="center"/>
    </xf>
    <xf numFmtId="1" fontId="45" fillId="28" borderId="11" xfId="0" applyNumberFormat="1" applyFont="1" applyFill="1" applyBorder="1" applyAlignment="1">
      <alignment horizontal="center" vertical="center"/>
    </xf>
    <xf numFmtId="0" fontId="35" fillId="28" borderId="10" xfId="0" applyFont="1" applyFill="1" applyBorder="1" applyAlignment="1">
      <alignment horizontal="left" vertical="center"/>
    </xf>
    <xf numFmtId="0" fontId="35" fillId="28" borderId="0" xfId="0" applyFont="1" applyFill="1" applyAlignment="1">
      <alignment vertical="center"/>
    </xf>
    <xf numFmtId="0" fontId="31" fillId="24" borderId="0" xfId="0" applyFont="1" applyFill="1"/>
    <xf numFmtId="0" fontId="0" fillId="24" borderId="0" xfId="0" applyFill="1"/>
    <xf numFmtId="2" fontId="40" fillId="24" borderId="11" xfId="0" applyNumberFormat="1" applyFont="1" applyFill="1" applyBorder="1" applyAlignment="1">
      <alignment horizontal="center" vertical="center"/>
    </xf>
    <xf numFmtId="0" fontId="43" fillId="0" borderId="15" xfId="0" applyFont="1" applyBorder="1" applyAlignment="1">
      <alignment horizontal="center" vertical="center"/>
    </xf>
    <xf numFmtId="0" fontId="43" fillId="0" borderId="12" xfId="0" applyFont="1" applyBorder="1" applyAlignment="1">
      <alignment horizontal="center" vertical="center"/>
    </xf>
    <xf numFmtId="0" fontId="43" fillId="0" borderId="16" xfId="0" applyFont="1" applyBorder="1" applyAlignment="1">
      <alignment horizontal="center" vertical="center"/>
    </xf>
    <xf numFmtId="167" fontId="38" fillId="0" borderId="15" xfId="0" applyNumberFormat="1" applyFont="1" applyBorder="1" applyAlignment="1">
      <alignment horizontal="center" vertical="center"/>
    </xf>
    <xf numFmtId="167" fontId="38" fillId="0" borderId="12" xfId="0" applyNumberFormat="1" applyFont="1" applyBorder="1" applyAlignment="1">
      <alignment horizontal="center" vertical="center"/>
    </xf>
    <xf numFmtId="167" fontId="38" fillId="0" borderId="16" xfId="0" applyNumberFormat="1" applyFont="1" applyBorder="1" applyAlignment="1">
      <alignment horizontal="center" vertical="center"/>
    </xf>
    <xf numFmtId="0" fontId="50" fillId="0" borderId="0" xfId="34" applyFont="1" applyBorder="1" applyAlignment="1" applyProtection="1">
      <alignment horizontal="left" vertical="center"/>
    </xf>
    <xf numFmtId="164" fontId="38" fillId="0" borderId="14" xfId="0" applyNumberFormat="1" applyFont="1" applyBorder="1" applyAlignment="1" applyProtection="1">
      <alignment horizontal="center" vertical="center" shrinkToFit="1"/>
      <protection locked="0"/>
    </xf>
    <xf numFmtId="164" fontId="38" fillId="0" borderId="21" xfId="0" applyNumberFormat="1" applyFont="1" applyBorder="1" applyAlignment="1" applyProtection="1">
      <alignment horizontal="center" vertical="center" shrinkToFit="1"/>
      <protection locked="0"/>
    </xf>
    <xf numFmtId="0" fontId="51"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4">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569072</xdr:colOff>
      <xdr:row>5</xdr:row>
      <xdr:rowOff>142875</xdr:rowOff>
    </xdr:from>
    <xdr:to>
      <xdr:col>19</xdr:col>
      <xdr:colOff>76760</xdr:colOff>
      <xdr:row>10</xdr:row>
      <xdr:rowOff>1196</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43"/>
  <sheetViews>
    <sheetView showGridLines="0" tabSelected="1" zoomScale="110" zoomScaleNormal="100" workbookViewId="0">
      <pane ySplit="7" topLeftCell="A8" activePane="bottomLeft" state="frozen"/>
      <selection pane="bottomLeft" activeCell="B7" sqref="B7:D39"/>
    </sheetView>
  </sheetViews>
  <sheetFormatPr baseColWidth="10" defaultColWidth="9.1640625" defaultRowHeight="13" x14ac:dyDescent="0.15"/>
  <cols>
    <col min="1" max="1" width="9.33203125" customWidth="1"/>
    <col min="2" max="2" width="33" customWidth="1"/>
    <col min="3" max="3" width="6.83203125" hidden="1" customWidth="1"/>
    <col min="4" max="5" width="12" customWidth="1"/>
    <col min="6" max="6" width="12" style="119" customWidth="1"/>
    <col min="7" max="7" width="9.33203125" customWidth="1"/>
    <col min="8" max="8" width="6.6640625" customWidth="1"/>
    <col min="9" max="9" width="6.5" customWidth="1"/>
    <col min="10" max="10" width="1.83203125" customWidth="1"/>
    <col min="11" max="66" width="2.5" customWidth="1"/>
  </cols>
  <sheetData>
    <row r="1" spans="1:66" ht="30" customHeight="1" x14ac:dyDescent="0.15">
      <c r="A1" s="116" t="s">
        <v>131</v>
      </c>
      <c r="B1" s="15"/>
      <c r="C1" s="15"/>
      <c r="D1" s="15"/>
      <c r="E1" s="15"/>
      <c r="F1" s="117"/>
      <c r="I1" s="63"/>
      <c r="K1" s="162"/>
      <c r="L1" s="162"/>
      <c r="M1" s="162"/>
      <c r="N1" s="162"/>
      <c r="O1" s="162"/>
      <c r="P1" s="162"/>
      <c r="Q1" s="162"/>
      <c r="R1" s="162"/>
      <c r="S1" s="162"/>
      <c r="T1" s="162"/>
      <c r="U1" s="162"/>
      <c r="V1" s="162"/>
      <c r="W1" s="162"/>
      <c r="X1" s="162"/>
      <c r="Y1" s="162"/>
      <c r="Z1" s="162"/>
      <c r="AA1" s="162"/>
      <c r="AB1" s="162"/>
      <c r="AC1" s="162"/>
      <c r="AD1" s="162"/>
      <c r="AE1" s="162"/>
    </row>
    <row r="2" spans="1:66" ht="18" customHeight="1" x14ac:dyDescent="0.15">
      <c r="A2" s="17" t="s">
        <v>121</v>
      </c>
      <c r="B2" s="7"/>
      <c r="C2" s="11"/>
      <c r="D2" s="87"/>
      <c r="E2" s="87"/>
      <c r="F2" s="118"/>
      <c r="H2" s="1"/>
    </row>
    <row r="3" spans="1:66" ht="14" x14ac:dyDescent="0.15">
      <c r="A3" s="17"/>
      <c r="B3" s="2"/>
      <c r="H3" s="1"/>
      <c r="K3" s="9"/>
      <c r="L3" s="9"/>
      <c r="M3" s="9"/>
      <c r="N3" s="9"/>
      <c r="O3" s="9"/>
      <c r="P3" s="9"/>
      <c r="Q3" s="9"/>
      <c r="R3" s="9"/>
      <c r="S3" s="9"/>
      <c r="T3" s="9"/>
      <c r="U3" s="9"/>
      <c r="V3" s="9"/>
      <c r="W3" s="9"/>
      <c r="X3" s="9"/>
      <c r="Y3" s="9"/>
      <c r="Z3" s="9"/>
      <c r="AA3" s="9"/>
    </row>
    <row r="4" spans="1:66" ht="17.25" customHeight="1" x14ac:dyDescent="0.15">
      <c r="A4" s="49"/>
      <c r="B4" s="50" t="s">
        <v>31</v>
      </c>
      <c r="C4" s="164"/>
      <c r="D4" s="164"/>
      <c r="E4" s="49"/>
      <c r="F4" s="120"/>
      <c r="G4" s="50" t="s">
        <v>30</v>
      </c>
      <c r="H4" s="62">
        <v>1</v>
      </c>
      <c r="I4" s="2"/>
      <c r="J4" s="16"/>
      <c r="K4" s="156" t="e">
        <f>"Week "&amp;(K6-(#REF!-WEEKDAY(#REF!,1)+2))/7+1</f>
        <v>#REF!</v>
      </c>
      <c r="L4" s="157"/>
      <c r="M4" s="157"/>
      <c r="N4" s="157"/>
      <c r="O4" s="157"/>
      <c r="P4" s="157"/>
      <c r="Q4" s="158"/>
      <c r="R4" s="156" t="e">
        <f>"Week "&amp;(R6-(#REF!-WEEKDAY(#REF!,1)+2))/7+1</f>
        <v>#REF!</v>
      </c>
      <c r="S4" s="157"/>
      <c r="T4" s="157"/>
      <c r="U4" s="157"/>
      <c r="V4" s="157"/>
      <c r="W4" s="157"/>
      <c r="X4" s="158"/>
      <c r="Y4" s="156" t="e">
        <f>"Week "&amp;(Y6-(#REF!-WEEKDAY(#REF!,1)+2))/7+1</f>
        <v>#REF!</v>
      </c>
      <c r="Z4" s="157"/>
      <c r="AA4" s="157"/>
      <c r="AB4" s="157"/>
      <c r="AC4" s="157"/>
      <c r="AD4" s="157"/>
      <c r="AE4" s="158"/>
      <c r="AF4" s="156" t="e">
        <f>"Week "&amp;(AF6-(#REF!-WEEKDAY(#REF!,1)+2))/7+1</f>
        <v>#REF!</v>
      </c>
      <c r="AG4" s="157"/>
      <c r="AH4" s="157"/>
      <c r="AI4" s="157"/>
      <c r="AJ4" s="157"/>
      <c r="AK4" s="157"/>
      <c r="AL4" s="158"/>
      <c r="AM4" s="156" t="e">
        <f>"Week "&amp;(AM6-(#REF!-WEEKDAY(#REF!,1)+2))/7+1</f>
        <v>#REF!</v>
      </c>
      <c r="AN4" s="157"/>
      <c r="AO4" s="157"/>
      <c r="AP4" s="157"/>
      <c r="AQ4" s="157"/>
      <c r="AR4" s="157"/>
      <c r="AS4" s="158"/>
      <c r="AT4" s="156" t="e">
        <f>"Week "&amp;(AT6-(#REF!-WEEKDAY(#REF!,1)+2))/7+1</f>
        <v>#REF!</v>
      </c>
      <c r="AU4" s="157"/>
      <c r="AV4" s="157"/>
      <c r="AW4" s="157"/>
      <c r="AX4" s="157"/>
      <c r="AY4" s="157"/>
      <c r="AZ4" s="158"/>
      <c r="BA4" s="156" t="e">
        <f>"Week "&amp;(BA6-(#REF!-WEEKDAY(#REF!,1)+2))/7+1</f>
        <v>#REF!</v>
      </c>
      <c r="BB4" s="157"/>
      <c r="BC4" s="157"/>
      <c r="BD4" s="157"/>
      <c r="BE4" s="157"/>
      <c r="BF4" s="157"/>
      <c r="BG4" s="158"/>
      <c r="BH4" s="156" t="e">
        <f>"Week "&amp;(BH6-(#REF!-WEEKDAY(#REF!,1)+2))/7+1</f>
        <v>#REF!</v>
      </c>
      <c r="BI4" s="157"/>
      <c r="BJ4" s="157"/>
      <c r="BK4" s="157"/>
      <c r="BL4" s="157"/>
      <c r="BM4" s="157"/>
      <c r="BN4" s="158"/>
    </row>
    <row r="5" spans="1:66" ht="17.25" customHeight="1" x14ac:dyDescent="0.15">
      <c r="A5" s="49"/>
      <c r="B5" s="50" t="s">
        <v>32</v>
      </c>
      <c r="C5" s="163"/>
      <c r="D5" s="163"/>
      <c r="E5" s="49"/>
      <c r="F5" s="120"/>
      <c r="G5" s="49"/>
      <c r="H5" s="49"/>
      <c r="I5" s="49"/>
      <c r="J5" s="16"/>
      <c r="K5" s="159" t="e">
        <f>K6</f>
        <v>#REF!</v>
      </c>
      <c r="L5" s="160"/>
      <c r="M5" s="160"/>
      <c r="N5" s="160"/>
      <c r="O5" s="160"/>
      <c r="P5" s="160"/>
      <c r="Q5" s="161"/>
      <c r="R5" s="159" t="e">
        <f>R6</f>
        <v>#REF!</v>
      </c>
      <c r="S5" s="160"/>
      <c r="T5" s="160"/>
      <c r="U5" s="160"/>
      <c r="V5" s="160"/>
      <c r="W5" s="160"/>
      <c r="X5" s="161"/>
      <c r="Y5" s="159" t="e">
        <f>Y6</f>
        <v>#REF!</v>
      </c>
      <c r="Z5" s="160"/>
      <c r="AA5" s="160"/>
      <c r="AB5" s="160"/>
      <c r="AC5" s="160"/>
      <c r="AD5" s="160"/>
      <c r="AE5" s="161"/>
      <c r="AF5" s="159" t="e">
        <f>AF6</f>
        <v>#REF!</v>
      </c>
      <c r="AG5" s="160"/>
      <c r="AH5" s="160"/>
      <c r="AI5" s="160"/>
      <c r="AJ5" s="160"/>
      <c r="AK5" s="160"/>
      <c r="AL5" s="161"/>
      <c r="AM5" s="159" t="e">
        <f>AM6</f>
        <v>#REF!</v>
      </c>
      <c r="AN5" s="160"/>
      <c r="AO5" s="160"/>
      <c r="AP5" s="160"/>
      <c r="AQ5" s="160"/>
      <c r="AR5" s="160"/>
      <c r="AS5" s="161"/>
      <c r="AT5" s="159" t="e">
        <f>AT6</f>
        <v>#REF!</v>
      </c>
      <c r="AU5" s="160"/>
      <c r="AV5" s="160"/>
      <c r="AW5" s="160"/>
      <c r="AX5" s="160"/>
      <c r="AY5" s="160"/>
      <c r="AZ5" s="161"/>
      <c r="BA5" s="159" t="e">
        <f>BA6</f>
        <v>#REF!</v>
      </c>
      <c r="BB5" s="160"/>
      <c r="BC5" s="160"/>
      <c r="BD5" s="160"/>
      <c r="BE5" s="160"/>
      <c r="BF5" s="160"/>
      <c r="BG5" s="161"/>
      <c r="BH5" s="159" t="e">
        <f>BH6</f>
        <v>#REF!</v>
      </c>
      <c r="BI5" s="160"/>
      <c r="BJ5" s="160"/>
      <c r="BK5" s="160"/>
      <c r="BL5" s="160"/>
      <c r="BM5" s="160"/>
      <c r="BN5" s="161"/>
    </row>
    <row r="6" spans="1:66" x14ac:dyDescent="0.15">
      <c r="A6" s="16"/>
      <c r="B6" s="16"/>
      <c r="C6" s="16"/>
      <c r="D6" s="16"/>
      <c r="E6" s="16"/>
      <c r="F6" s="121"/>
      <c r="G6" s="16"/>
      <c r="H6" s="16"/>
      <c r="I6" s="16"/>
      <c r="J6" s="16"/>
      <c r="K6" s="40" t="e">
        <f>#REF!-WEEKDAY(#REF!,1)+2+7*(H4-1)</f>
        <v>#REF!</v>
      </c>
      <c r="L6" s="32" t="e">
        <f t="shared" ref="L6:AQ6" si="0">K6+1</f>
        <v>#REF!</v>
      </c>
      <c r="M6" s="32" t="e">
        <f t="shared" si="0"/>
        <v>#REF!</v>
      </c>
      <c r="N6" s="32" t="e">
        <f t="shared" si="0"/>
        <v>#REF!</v>
      </c>
      <c r="O6" s="32" t="e">
        <f t="shared" si="0"/>
        <v>#REF!</v>
      </c>
      <c r="P6" s="32" t="e">
        <f t="shared" si="0"/>
        <v>#REF!</v>
      </c>
      <c r="Q6" s="41" t="e">
        <f t="shared" si="0"/>
        <v>#REF!</v>
      </c>
      <c r="R6" s="40" t="e">
        <f t="shared" si="0"/>
        <v>#REF!</v>
      </c>
      <c r="S6" s="32" t="e">
        <f t="shared" si="0"/>
        <v>#REF!</v>
      </c>
      <c r="T6" s="32" t="e">
        <f t="shared" si="0"/>
        <v>#REF!</v>
      </c>
      <c r="U6" s="32" t="e">
        <f t="shared" si="0"/>
        <v>#REF!</v>
      </c>
      <c r="V6" s="32" t="e">
        <f t="shared" si="0"/>
        <v>#REF!</v>
      </c>
      <c r="W6" s="32" t="e">
        <f t="shared" si="0"/>
        <v>#REF!</v>
      </c>
      <c r="X6" s="41" t="e">
        <f t="shared" si="0"/>
        <v>#REF!</v>
      </c>
      <c r="Y6" s="40" t="e">
        <f t="shared" si="0"/>
        <v>#REF!</v>
      </c>
      <c r="Z6" s="32" t="e">
        <f t="shared" si="0"/>
        <v>#REF!</v>
      </c>
      <c r="AA6" s="32" t="e">
        <f t="shared" si="0"/>
        <v>#REF!</v>
      </c>
      <c r="AB6" s="32" t="e">
        <f t="shared" si="0"/>
        <v>#REF!</v>
      </c>
      <c r="AC6" s="32" t="e">
        <f t="shared" si="0"/>
        <v>#REF!</v>
      </c>
      <c r="AD6" s="32" t="e">
        <f t="shared" si="0"/>
        <v>#REF!</v>
      </c>
      <c r="AE6" s="41" t="e">
        <f t="shared" si="0"/>
        <v>#REF!</v>
      </c>
      <c r="AF6" s="40" t="e">
        <f t="shared" si="0"/>
        <v>#REF!</v>
      </c>
      <c r="AG6" s="32" t="e">
        <f t="shared" si="0"/>
        <v>#REF!</v>
      </c>
      <c r="AH6" s="32" t="e">
        <f t="shared" si="0"/>
        <v>#REF!</v>
      </c>
      <c r="AI6" s="32" t="e">
        <f t="shared" si="0"/>
        <v>#REF!</v>
      </c>
      <c r="AJ6" s="32" t="e">
        <f t="shared" si="0"/>
        <v>#REF!</v>
      </c>
      <c r="AK6" s="32" t="e">
        <f t="shared" si="0"/>
        <v>#REF!</v>
      </c>
      <c r="AL6" s="41" t="e">
        <f t="shared" si="0"/>
        <v>#REF!</v>
      </c>
      <c r="AM6" s="40" t="e">
        <f t="shared" si="0"/>
        <v>#REF!</v>
      </c>
      <c r="AN6" s="32" t="e">
        <f t="shared" si="0"/>
        <v>#REF!</v>
      </c>
      <c r="AO6" s="32" t="e">
        <f t="shared" si="0"/>
        <v>#REF!</v>
      </c>
      <c r="AP6" s="32" t="e">
        <f t="shared" si="0"/>
        <v>#REF!</v>
      </c>
      <c r="AQ6" s="32" t="e">
        <f t="shared" si="0"/>
        <v>#REF!</v>
      </c>
      <c r="AR6" s="32" t="e">
        <f t="shared" ref="AR6:BN6" si="1">AQ6+1</f>
        <v>#REF!</v>
      </c>
      <c r="AS6" s="41" t="e">
        <f t="shared" si="1"/>
        <v>#REF!</v>
      </c>
      <c r="AT6" s="40" t="e">
        <f t="shared" si="1"/>
        <v>#REF!</v>
      </c>
      <c r="AU6" s="32" t="e">
        <f t="shared" si="1"/>
        <v>#REF!</v>
      </c>
      <c r="AV6" s="32" t="e">
        <f t="shared" si="1"/>
        <v>#REF!</v>
      </c>
      <c r="AW6" s="32" t="e">
        <f t="shared" si="1"/>
        <v>#REF!</v>
      </c>
      <c r="AX6" s="32" t="e">
        <f t="shared" si="1"/>
        <v>#REF!</v>
      </c>
      <c r="AY6" s="32" t="e">
        <f t="shared" si="1"/>
        <v>#REF!</v>
      </c>
      <c r="AZ6" s="41" t="e">
        <f t="shared" si="1"/>
        <v>#REF!</v>
      </c>
      <c r="BA6" s="40" t="e">
        <f t="shared" si="1"/>
        <v>#REF!</v>
      </c>
      <c r="BB6" s="32" t="e">
        <f t="shared" si="1"/>
        <v>#REF!</v>
      </c>
      <c r="BC6" s="32" t="e">
        <f t="shared" si="1"/>
        <v>#REF!</v>
      </c>
      <c r="BD6" s="32" t="e">
        <f t="shared" si="1"/>
        <v>#REF!</v>
      </c>
      <c r="BE6" s="32" t="e">
        <f t="shared" si="1"/>
        <v>#REF!</v>
      </c>
      <c r="BF6" s="32" t="e">
        <f t="shared" si="1"/>
        <v>#REF!</v>
      </c>
      <c r="BG6" s="41" t="e">
        <f t="shared" si="1"/>
        <v>#REF!</v>
      </c>
      <c r="BH6" s="40" t="e">
        <f t="shared" si="1"/>
        <v>#REF!</v>
      </c>
      <c r="BI6" s="32" t="e">
        <f t="shared" si="1"/>
        <v>#REF!</v>
      </c>
      <c r="BJ6" s="32" t="e">
        <f t="shared" si="1"/>
        <v>#REF!</v>
      </c>
      <c r="BK6" s="32" t="e">
        <f t="shared" si="1"/>
        <v>#REF!</v>
      </c>
      <c r="BL6" s="32" t="e">
        <f t="shared" si="1"/>
        <v>#REF!</v>
      </c>
      <c r="BM6" s="32" t="e">
        <f t="shared" si="1"/>
        <v>#REF!</v>
      </c>
      <c r="BN6" s="41" t="e">
        <f t="shared" si="1"/>
        <v>#REF!</v>
      </c>
    </row>
    <row r="7" spans="1:66" s="2" customFormat="1" ht="27" thickBot="1" x14ac:dyDescent="0.2">
      <c r="A7" s="52" t="s">
        <v>0</v>
      </c>
      <c r="B7" s="52" t="s">
        <v>24</v>
      </c>
      <c r="C7" s="54" t="s">
        <v>29</v>
      </c>
      <c r="D7" s="55" t="s">
        <v>25</v>
      </c>
      <c r="E7" s="55" t="s">
        <v>26</v>
      </c>
      <c r="F7" s="122" t="s">
        <v>87</v>
      </c>
      <c r="G7" s="53" t="s">
        <v>88</v>
      </c>
      <c r="H7" s="53" t="s">
        <v>27</v>
      </c>
      <c r="I7" s="53" t="s">
        <v>28</v>
      </c>
      <c r="J7" s="53"/>
      <c r="K7" s="56" t="e">
        <f t="shared" ref="K7:AP7" si="2">CHOOSE(WEEKDAY(K6,1),"S","M","T","W","T","F","S")</f>
        <v>#REF!</v>
      </c>
      <c r="L7" s="57" t="e">
        <f t="shared" si="2"/>
        <v>#REF!</v>
      </c>
      <c r="M7" s="57" t="e">
        <f t="shared" si="2"/>
        <v>#REF!</v>
      </c>
      <c r="N7" s="57" t="e">
        <f t="shared" si="2"/>
        <v>#REF!</v>
      </c>
      <c r="O7" s="57" t="e">
        <f t="shared" si="2"/>
        <v>#REF!</v>
      </c>
      <c r="P7" s="57" t="e">
        <f t="shared" si="2"/>
        <v>#REF!</v>
      </c>
      <c r="Q7" s="58" t="e">
        <f t="shared" si="2"/>
        <v>#REF!</v>
      </c>
      <c r="R7" s="56" t="e">
        <f t="shared" si="2"/>
        <v>#REF!</v>
      </c>
      <c r="S7" s="57" t="e">
        <f t="shared" si="2"/>
        <v>#REF!</v>
      </c>
      <c r="T7" s="57" t="e">
        <f t="shared" si="2"/>
        <v>#REF!</v>
      </c>
      <c r="U7" s="57" t="e">
        <f t="shared" si="2"/>
        <v>#REF!</v>
      </c>
      <c r="V7" s="57" t="e">
        <f t="shared" si="2"/>
        <v>#REF!</v>
      </c>
      <c r="W7" s="57" t="e">
        <f t="shared" si="2"/>
        <v>#REF!</v>
      </c>
      <c r="X7" s="58" t="e">
        <f t="shared" si="2"/>
        <v>#REF!</v>
      </c>
      <c r="Y7" s="56" t="e">
        <f t="shared" si="2"/>
        <v>#REF!</v>
      </c>
      <c r="Z7" s="57" t="e">
        <f t="shared" si="2"/>
        <v>#REF!</v>
      </c>
      <c r="AA7" s="57" t="e">
        <f t="shared" si="2"/>
        <v>#REF!</v>
      </c>
      <c r="AB7" s="57" t="e">
        <f t="shared" si="2"/>
        <v>#REF!</v>
      </c>
      <c r="AC7" s="57" t="e">
        <f t="shared" si="2"/>
        <v>#REF!</v>
      </c>
      <c r="AD7" s="57" t="e">
        <f t="shared" si="2"/>
        <v>#REF!</v>
      </c>
      <c r="AE7" s="58" t="e">
        <f t="shared" si="2"/>
        <v>#REF!</v>
      </c>
      <c r="AF7" s="56" t="e">
        <f t="shared" si="2"/>
        <v>#REF!</v>
      </c>
      <c r="AG7" s="57" t="e">
        <f t="shared" si="2"/>
        <v>#REF!</v>
      </c>
      <c r="AH7" s="57" t="e">
        <f t="shared" si="2"/>
        <v>#REF!</v>
      </c>
      <c r="AI7" s="57" t="e">
        <f t="shared" si="2"/>
        <v>#REF!</v>
      </c>
      <c r="AJ7" s="57" t="e">
        <f t="shared" si="2"/>
        <v>#REF!</v>
      </c>
      <c r="AK7" s="57" t="e">
        <f t="shared" si="2"/>
        <v>#REF!</v>
      </c>
      <c r="AL7" s="58" t="e">
        <f t="shared" si="2"/>
        <v>#REF!</v>
      </c>
      <c r="AM7" s="56" t="e">
        <f t="shared" si="2"/>
        <v>#REF!</v>
      </c>
      <c r="AN7" s="57" t="e">
        <f t="shared" si="2"/>
        <v>#REF!</v>
      </c>
      <c r="AO7" s="57" t="e">
        <f t="shared" si="2"/>
        <v>#REF!</v>
      </c>
      <c r="AP7" s="57" t="e">
        <f t="shared" si="2"/>
        <v>#REF!</v>
      </c>
      <c r="AQ7" s="57" t="e">
        <f t="shared" ref="AQ7:BN7" si="3">CHOOSE(WEEKDAY(AQ6,1),"S","M","T","W","T","F","S")</f>
        <v>#REF!</v>
      </c>
      <c r="AR7" s="57" t="e">
        <f t="shared" si="3"/>
        <v>#REF!</v>
      </c>
      <c r="AS7" s="58" t="e">
        <f t="shared" si="3"/>
        <v>#REF!</v>
      </c>
      <c r="AT7" s="56" t="e">
        <f t="shared" si="3"/>
        <v>#REF!</v>
      </c>
      <c r="AU7" s="57" t="e">
        <f t="shared" si="3"/>
        <v>#REF!</v>
      </c>
      <c r="AV7" s="57" t="e">
        <f t="shared" si="3"/>
        <v>#REF!</v>
      </c>
      <c r="AW7" s="57" t="e">
        <f t="shared" si="3"/>
        <v>#REF!</v>
      </c>
      <c r="AX7" s="57" t="e">
        <f t="shared" si="3"/>
        <v>#REF!</v>
      </c>
      <c r="AY7" s="57" t="e">
        <f t="shared" si="3"/>
        <v>#REF!</v>
      </c>
      <c r="AZ7" s="58" t="e">
        <f t="shared" si="3"/>
        <v>#REF!</v>
      </c>
      <c r="BA7" s="56" t="e">
        <f t="shared" si="3"/>
        <v>#REF!</v>
      </c>
      <c r="BB7" s="57" t="e">
        <f t="shared" si="3"/>
        <v>#REF!</v>
      </c>
      <c r="BC7" s="57" t="e">
        <f t="shared" si="3"/>
        <v>#REF!</v>
      </c>
      <c r="BD7" s="57" t="e">
        <f t="shared" si="3"/>
        <v>#REF!</v>
      </c>
      <c r="BE7" s="57" t="e">
        <f t="shared" si="3"/>
        <v>#REF!</v>
      </c>
      <c r="BF7" s="57" t="e">
        <f t="shared" si="3"/>
        <v>#REF!</v>
      </c>
      <c r="BG7" s="58" t="e">
        <f t="shared" si="3"/>
        <v>#REF!</v>
      </c>
      <c r="BH7" s="56" t="e">
        <f t="shared" si="3"/>
        <v>#REF!</v>
      </c>
      <c r="BI7" s="57" t="e">
        <f t="shared" si="3"/>
        <v>#REF!</v>
      </c>
      <c r="BJ7" s="57" t="e">
        <f t="shared" si="3"/>
        <v>#REF!</v>
      </c>
      <c r="BK7" s="57" t="e">
        <f t="shared" si="3"/>
        <v>#REF!</v>
      </c>
      <c r="BL7" s="57" t="e">
        <f t="shared" si="3"/>
        <v>#REF!</v>
      </c>
      <c r="BM7" s="57" t="e">
        <f t="shared" si="3"/>
        <v>#REF!</v>
      </c>
      <c r="BN7" s="58" t="e">
        <f t="shared" si="3"/>
        <v>#REF!</v>
      </c>
    </row>
    <row r="8" spans="1:66" s="20" customFormat="1" ht="18" x14ac:dyDescent="0.15">
      <c r="A8" s="33" t="str">
        <f>IF(ISERROR(VALUE(SUBSTITUTE(prevWBS,".",""))),"1",IF(ISERROR(FIND("`",SUBSTITUTE(prevWBS,".","`",1))),TEXT(VALUE(prevWBS)+1,"#"),TEXT(VALUE(LEFT(prevWBS,FIND("`",SUBSTITUTE(prevWBS,".","`",1))-1))+1,"#")))</f>
        <v>1</v>
      </c>
      <c r="B8" s="34" t="s">
        <v>89</v>
      </c>
      <c r="C8" s="35"/>
      <c r="D8" s="36"/>
      <c r="E8" s="51" t="str">
        <f>IF(ISBLANK(D8)," - ",IF(G8=0,D8,D8+G8-1))</f>
        <v xml:space="preserve"> - </v>
      </c>
      <c r="F8" s="123"/>
      <c r="G8" s="37"/>
      <c r="H8" s="38"/>
      <c r="I8" s="39" t="str">
        <f>IF(OR(E8=0,D8=0)," - ",NETWORKDAYS(D8,E8))</f>
        <v xml:space="preserve"> - </v>
      </c>
      <c r="J8" s="42"/>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row>
    <row r="9" spans="1:66" s="26" customFormat="1" ht="18" x14ac:dyDescent="0.15">
      <c r="A9" s="25" t="str">
        <f t="shared" ref="A9:A11"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9" t="s">
        <v>91</v>
      </c>
      <c r="C9" s="60"/>
      <c r="D9" s="45">
        <v>45901</v>
      </c>
      <c r="E9" s="45">
        <f>IF(ISBLANK(D10)," - ",IF(G9=0,D9,D9+G9-1))</f>
        <v>45905</v>
      </c>
      <c r="F9" s="124" t="s">
        <v>123</v>
      </c>
      <c r="G9" s="27">
        <v>5</v>
      </c>
      <c r="H9" s="108">
        <v>1</v>
      </c>
      <c r="I9" s="27">
        <v>5</v>
      </c>
      <c r="J9" s="43"/>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row>
    <row r="10" spans="1:66" s="26" customFormat="1" ht="18" x14ac:dyDescent="0.15">
      <c r="A10" s="25" t="str">
        <f t="shared" si="4"/>
        <v>1.2</v>
      </c>
      <c r="B10" s="59" t="s">
        <v>92</v>
      </c>
      <c r="C10" s="60"/>
      <c r="D10" s="45">
        <v>45909</v>
      </c>
      <c r="E10" s="45">
        <f>IF(ISBLANK(D11)," - ",IF(G10=0,D10,D10+G10-1))</f>
        <v>45913</v>
      </c>
      <c r="F10" s="124" t="str">
        <f>A9</f>
        <v>1.1</v>
      </c>
      <c r="G10" s="27">
        <v>5</v>
      </c>
      <c r="H10" s="108">
        <v>1</v>
      </c>
      <c r="I10" s="27">
        <v>4</v>
      </c>
      <c r="J10" s="43"/>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row>
    <row r="11" spans="1:66" s="130" customFormat="1" ht="18" x14ac:dyDescent="0.15">
      <c r="A11" s="129" t="str">
        <f t="shared" si="4"/>
        <v>1.3</v>
      </c>
      <c r="B11" s="128" t="s">
        <v>120</v>
      </c>
      <c r="C11" s="131"/>
      <c r="D11" s="132">
        <v>45915</v>
      </c>
      <c r="E11" s="132">
        <f>IF(ISBLANK(D12)," - ",IF(G11=0,D11,D11+G11-1))</f>
        <v>45915</v>
      </c>
      <c r="F11" s="133" t="str">
        <f>A10</f>
        <v>1.2</v>
      </c>
      <c r="G11" s="134">
        <v>0</v>
      </c>
      <c r="H11" s="135">
        <v>0.2</v>
      </c>
      <c r="I11" s="134">
        <v>5</v>
      </c>
      <c r="J11" s="136"/>
      <c r="K11" s="129"/>
      <c r="L11" s="129"/>
      <c r="M11" s="137"/>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row>
    <row r="12" spans="1:66" s="26" customFormat="1" ht="18" x14ac:dyDescent="0.15">
      <c r="A12" s="25">
        <v>1.4</v>
      </c>
      <c r="B12" s="59" t="s">
        <v>93</v>
      </c>
      <c r="C12" s="60"/>
      <c r="D12" s="45">
        <v>45920</v>
      </c>
      <c r="E12" s="45">
        <f>IF(ISBLANK(D13)," - ",IF(G12=0,D12,D12+G12-1))</f>
        <v>45924</v>
      </c>
      <c r="F12" s="124" t="str">
        <f>A11</f>
        <v>1.3</v>
      </c>
      <c r="G12" s="27">
        <v>5</v>
      </c>
      <c r="H12" s="108">
        <v>0.75</v>
      </c>
      <c r="I12" s="27">
        <v>3</v>
      </c>
      <c r="J12" s="43"/>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row>
    <row r="13" spans="1:66" s="26" customFormat="1" ht="18" x14ac:dyDescent="0.15">
      <c r="A13" s="25">
        <v>1.5</v>
      </c>
      <c r="B13" s="61" t="s">
        <v>94</v>
      </c>
      <c r="C13" s="60"/>
      <c r="D13" s="45">
        <v>45938</v>
      </c>
      <c r="E13" s="45">
        <f>IF(ISBLANK(D14)," - ",IF(G13=0,D13,D13+G13-1))</f>
        <v>45941</v>
      </c>
      <c r="F13" s="124">
        <f>A12</f>
        <v>1.4</v>
      </c>
      <c r="G13" s="27">
        <v>4</v>
      </c>
      <c r="H13" s="108">
        <v>1</v>
      </c>
      <c r="I13" s="27">
        <v>3</v>
      </c>
      <c r="J13" s="43"/>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row>
    <row r="14" spans="1:66" s="26" customFormat="1" ht="18" x14ac:dyDescent="0.15">
      <c r="A14" s="25">
        <v>1.6</v>
      </c>
      <c r="B14" s="61" t="s">
        <v>95</v>
      </c>
      <c r="C14" s="60"/>
      <c r="D14" s="45">
        <v>45941</v>
      </c>
      <c r="E14" s="45">
        <f t="shared" ref="E14:E31" si="5">IF(ISBLANK(D14)," - ",IF(G14=0,D14,D14+G14-1))</f>
        <v>45942</v>
      </c>
      <c r="F14" s="124">
        <f>A13</f>
        <v>1.5</v>
      </c>
      <c r="G14" s="27">
        <v>2</v>
      </c>
      <c r="H14" s="108">
        <v>0.7</v>
      </c>
      <c r="I14" s="27">
        <v>1</v>
      </c>
      <c r="J14" s="43"/>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row>
    <row r="15" spans="1:66" s="20" customFormat="1" ht="18" x14ac:dyDescent="0.15">
      <c r="A15" s="18" t="str">
        <f>IF(ISERROR(VALUE(SUBSTITUTE(prevWBS,".",""))),"1",IF(ISERROR(FIND("`",SUBSTITUTE(prevWBS,".","`",1))),TEXT(VALUE(prevWBS)+1,"#"),TEXT(VALUE(LEFT(prevWBS,FIND("`",SUBSTITUTE(prevWBS,".","`",1))-1))+1,"#")))</f>
        <v>2</v>
      </c>
      <c r="B15" s="19" t="s">
        <v>96</v>
      </c>
      <c r="C15" s="21"/>
      <c r="D15" s="46"/>
      <c r="E15" s="46" t="str">
        <f t="shared" si="5"/>
        <v xml:space="preserve"> - </v>
      </c>
      <c r="F15" s="125"/>
      <c r="G15" s="22"/>
      <c r="H15" s="23"/>
      <c r="I15" s="24"/>
      <c r="J15" s="44"/>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row>
    <row r="16" spans="1:66" s="26" customFormat="1" ht="18" x14ac:dyDescent="0.15">
      <c r="A16"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6" s="59" t="s">
        <v>90</v>
      </c>
      <c r="C16" s="60"/>
      <c r="D16" s="45">
        <v>45943</v>
      </c>
      <c r="E16" s="45">
        <f t="shared" si="5"/>
        <v>45945</v>
      </c>
      <c r="F16" s="124" t="s">
        <v>123</v>
      </c>
      <c r="G16" s="27">
        <v>3</v>
      </c>
      <c r="H16" s="108">
        <v>0.1</v>
      </c>
      <c r="I16" s="27">
        <f>IF(OR(E16=0,D16=0)," - ",NETWORKDAYS(D16,E16))</f>
        <v>3</v>
      </c>
      <c r="J16" s="43"/>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row>
    <row r="17" spans="1:66" s="26" customFormat="1" ht="18" x14ac:dyDescent="0.15">
      <c r="A17"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7" s="59" t="s">
        <v>97</v>
      </c>
      <c r="C17" s="60"/>
      <c r="D17" s="45">
        <v>45946</v>
      </c>
      <c r="E17" s="45">
        <f t="shared" si="5"/>
        <v>45946</v>
      </c>
      <c r="F17" s="124" t="str">
        <f>A16</f>
        <v>2.1</v>
      </c>
      <c r="G17" s="27">
        <v>1</v>
      </c>
      <c r="H17" s="108">
        <v>0.02</v>
      </c>
      <c r="I17" s="27">
        <v>1</v>
      </c>
      <c r="J17" s="43"/>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row>
    <row r="18" spans="1:66" s="26" customFormat="1" ht="18" x14ac:dyDescent="0.15">
      <c r="A18"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8" s="59" t="s">
        <v>98</v>
      </c>
      <c r="C18" s="60"/>
      <c r="D18" s="45">
        <v>45947</v>
      </c>
      <c r="E18" s="45">
        <f t="shared" si="5"/>
        <v>45947</v>
      </c>
      <c r="F18" s="124" t="str">
        <f>A17</f>
        <v>2.2</v>
      </c>
      <c r="G18" s="27">
        <v>1</v>
      </c>
      <c r="H18" s="108">
        <v>0</v>
      </c>
      <c r="I18" s="27">
        <v>1</v>
      </c>
      <c r="J18" s="43"/>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row>
    <row r="19" spans="1:66" s="20" customFormat="1" ht="18" x14ac:dyDescent="0.15">
      <c r="A19" s="18" t="str">
        <f>IF(ISERROR(VALUE(SUBSTITUTE(prevWBS,".",""))),"1",IF(ISERROR(FIND("`",SUBSTITUTE(prevWBS,".","`",1))),TEXT(VALUE(prevWBS)+1,"#"),TEXT(VALUE(LEFT(prevWBS,FIND("`",SUBSTITUTE(prevWBS,".","`",1))-1))+1,"#")))</f>
        <v>3</v>
      </c>
      <c r="B19" s="19" t="s">
        <v>99</v>
      </c>
      <c r="C19" s="21"/>
      <c r="D19" s="46"/>
      <c r="E19" s="46" t="str">
        <f t="shared" si="5"/>
        <v xml:space="preserve"> - </v>
      </c>
      <c r="F19" s="125"/>
      <c r="G19" s="22"/>
      <c r="H19" s="23"/>
      <c r="I19" s="24"/>
      <c r="J19" s="44"/>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row>
    <row r="20" spans="1:66" s="26" customFormat="1" ht="18" x14ac:dyDescent="0.15">
      <c r="A20"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59" t="s">
        <v>100</v>
      </c>
      <c r="C20" s="60"/>
      <c r="D20" s="45">
        <v>45950</v>
      </c>
      <c r="E20" s="45">
        <f t="shared" si="5"/>
        <v>45950</v>
      </c>
      <c r="F20" s="124" t="s">
        <v>123</v>
      </c>
      <c r="G20" s="27">
        <v>1</v>
      </c>
      <c r="H20" s="108">
        <v>0</v>
      </c>
      <c r="I20" s="27">
        <f>IF(OR(E20=0,D20=0)," - ",NETWORKDAYS(D20,E20))</f>
        <v>1</v>
      </c>
      <c r="J20" s="43"/>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row>
    <row r="21" spans="1:66" s="26" customFormat="1" ht="18" x14ac:dyDescent="0.15">
      <c r="A21"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59" t="s">
        <v>101</v>
      </c>
      <c r="C21" s="60"/>
      <c r="D21" s="45">
        <v>45951</v>
      </c>
      <c r="E21" s="45">
        <f t="shared" si="5"/>
        <v>45952</v>
      </c>
      <c r="F21" s="124" t="str">
        <f>A20</f>
        <v>3.1</v>
      </c>
      <c r="G21" s="27">
        <v>2</v>
      </c>
      <c r="H21" s="108">
        <v>0</v>
      </c>
      <c r="I21" s="27">
        <v>2</v>
      </c>
      <c r="J21" s="43"/>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row>
    <row r="22" spans="1:66" s="26" customFormat="1" ht="18" x14ac:dyDescent="0.15">
      <c r="A22"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2" s="59" t="s">
        <v>102</v>
      </c>
      <c r="C22" s="60"/>
      <c r="D22" s="45">
        <v>45953</v>
      </c>
      <c r="E22" s="45">
        <f t="shared" si="5"/>
        <v>45953</v>
      </c>
      <c r="F22" s="124" t="str">
        <f t="shared" ref="F22:F23" si="6">A21</f>
        <v>3.2</v>
      </c>
      <c r="G22" s="27">
        <v>1</v>
      </c>
      <c r="H22" s="108">
        <v>0</v>
      </c>
      <c r="I22" s="27">
        <v>1</v>
      </c>
      <c r="J22" s="43"/>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row>
    <row r="23" spans="1:66" s="26" customFormat="1" ht="18" x14ac:dyDescent="0.15">
      <c r="A23"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3" s="59" t="s">
        <v>103</v>
      </c>
      <c r="C23" s="60"/>
      <c r="D23" s="45">
        <v>45954</v>
      </c>
      <c r="E23" s="45">
        <f t="shared" si="5"/>
        <v>45954</v>
      </c>
      <c r="F23" s="124" t="str">
        <f t="shared" si="6"/>
        <v>3.3</v>
      </c>
      <c r="G23" s="27">
        <v>1</v>
      </c>
      <c r="H23" s="108">
        <v>0</v>
      </c>
      <c r="I23" s="27">
        <v>1</v>
      </c>
      <c r="J23" s="43"/>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row>
    <row r="24" spans="1:66" s="20" customFormat="1" ht="18" x14ac:dyDescent="0.15">
      <c r="A24" s="18" t="str">
        <f>IF(ISERROR(VALUE(SUBSTITUTE(prevWBS,".",""))),"1",IF(ISERROR(FIND("`",SUBSTITUTE(prevWBS,".","`",1))),TEXT(VALUE(prevWBS)+1,"#"),TEXT(VALUE(LEFT(prevWBS,FIND("`",SUBSTITUTE(prevWBS,".","`",1))-1))+1,"#")))</f>
        <v>4</v>
      </c>
      <c r="B24" s="19" t="s">
        <v>104</v>
      </c>
      <c r="C24" s="21"/>
      <c r="D24" s="46"/>
      <c r="E24" s="46" t="str">
        <f t="shared" si="5"/>
        <v xml:space="preserve"> - </v>
      </c>
      <c r="F24" s="125"/>
      <c r="G24" s="22"/>
      <c r="H24" s="23"/>
      <c r="I24" s="24"/>
      <c r="J24" s="44"/>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row>
    <row r="25" spans="1:66" s="26" customFormat="1" ht="18" x14ac:dyDescent="0.15">
      <c r="A25"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5" s="59" t="s">
        <v>105</v>
      </c>
      <c r="C25" s="60"/>
      <c r="D25" s="45">
        <v>45957</v>
      </c>
      <c r="E25" s="45">
        <f t="shared" si="5"/>
        <v>45958</v>
      </c>
      <c r="F25" s="124" t="s">
        <v>123</v>
      </c>
      <c r="G25" s="27">
        <v>2</v>
      </c>
      <c r="H25" s="108">
        <v>0</v>
      </c>
      <c r="I25" s="27">
        <v>2</v>
      </c>
      <c r="J25" s="43"/>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row>
    <row r="26" spans="1:66" s="26" customFormat="1" ht="18" x14ac:dyDescent="0.15">
      <c r="A26"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6" s="59" t="s">
        <v>106</v>
      </c>
      <c r="C26" s="60"/>
      <c r="D26" s="45">
        <v>45959</v>
      </c>
      <c r="E26" s="45">
        <f t="shared" si="5"/>
        <v>45960</v>
      </c>
      <c r="F26" s="124" t="str">
        <f>A25</f>
        <v>4.1</v>
      </c>
      <c r="G26" s="27">
        <v>2</v>
      </c>
      <c r="H26" s="108">
        <v>0</v>
      </c>
      <c r="I26" s="27">
        <v>2</v>
      </c>
      <c r="J26" s="43"/>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row>
    <row r="27" spans="1:66" s="26" customFormat="1" ht="18" x14ac:dyDescent="0.15">
      <c r="A27"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7" s="59" t="s">
        <v>107</v>
      </c>
      <c r="C27" s="60"/>
      <c r="D27" s="45">
        <v>45961</v>
      </c>
      <c r="E27" s="45">
        <f t="shared" si="5"/>
        <v>45961</v>
      </c>
      <c r="F27" s="124">
        <v>4.2</v>
      </c>
      <c r="G27" s="27">
        <v>1</v>
      </c>
      <c r="H27" s="108">
        <v>0</v>
      </c>
      <c r="I27" s="27">
        <v>1</v>
      </c>
      <c r="J27" s="43"/>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row>
    <row r="28" spans="1:66" s="107" customFormat="1" ht="18" x14ac:dyDescent="0.15">
      <c r="A28" s="99" t="str">
        <f>IF(ISERROR(VALUE(SUBSTITUTE(prevWBS,".",""))),"1",IF(ISERROR(FIND("`",SUBSTITUTE(prevWBS,".","`",1))),TEXT(VALUE(prevWBS)+1,"#"),TEXT(VALUE(LEFT(prevWBS,FIND("`",SUBSTITUTE(prevWBS,".","`",1))-1))+1,"#")))</f>
        <v>5</v>
      </c>
      <c r="B28" s="100" t="s">
        <v>108</v>
      </c>
      <c r="C28" s="101"/>
      <c r="D28" s="102"/>
      <c r="E28" s="102" t="str">
        <f t="shared" si="5"/>
        <v xml:space="preserve"> - </v>
      </c>
      <c r="F28" s="126"/>
      <c r="G28" s="103"/>
      <c r="H28" s="104"/>
      <c r="I28" s="105"/>
      <c r="J28" s="106"/>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row>
    <row r="29" spans="1:66" s="28" customFormat="1" ht="18" x14ac:dyDescent="0.15">
      <c r="A29"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29" s="59" t="s">
        <v>109</v>
      </c>
      <c r="C29" s="60"/>
      <c r="D29" s="45">
        <v>45962</v>
      </c>
      <c r="E29" s="45">
        <f t="shared" si="5"/>
        <v>45963</v>
      </c>
      <c r="F29" s="124" t="s">
        <v>123</v>
      </c>
      <c r="G29" s="27">
        <v>2</v>
      </c>
      <c r="H29" s="108">
        <v>0</v>
      </c>
      <c r="I29" s="27">
        <v>0</v>
      </c>
      <c r="J29" s="43"/>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row>
    <row r="30" spans="1:66" s="29" customFormat="1" ht="18" x14ac:dyDescent="0.15">
      <c r="A30"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0" s="59" t="s">
        <v>110</v>
      </c>
      <c r="C30" s="60"/>
      <c r="D30" s="45">
        <v>45964</v>
      </c>
      <c r="E30" s="45">
        <f t="shared" si="5"/>
        <v>45965</v>
      </c>
      <c r="F30" s="124" t="str">
        <f>A29</f>
        <v>5.1</v>
      </c>
      <c r="G30" s="27">
        <v>2</v>
      </c>
      <c r="H30" s="108">
        <v>0</v>
      </c>
      <c r="I30" s="27">
        <v>2</v>
      </c>
      <c r="J30" s="43"/>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row>
    <row r="31" spans="1:66" s="138" customFormat="1" ht="18" x14ac:dyDescent="0.15">
      <c r="A31" s="12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1" s="128" t="s">
        <v>111</v>
      </c>
      <c r="C31" s="131"/>
      <c r="D31" s="132">
        <v>45966</v>
      </c>
      <c r="E31" s="132">
        <f t="shared" si="5"/>
        <v>45966</v>
      </c>
      <c r="F31" s="133" t="str">
        <f>A30</f>
        <v>5.2</v>
      </c>
      <c r="G31" s="134">
        <v>0</v>
      </c>
      <c r="H31" s="135">
        <v>0</v>
      </c>
      <c r="I31" s="134">
        <f>IF(OR(E31=0,D31=0)," - ",NETWORKDAYS(D31,E31))</f>
        <v>1</v>
      </c>
      <c r="J31" s="136"/>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row>
    <row r="32" spans="1:66" s="152" customFormat="1" ht="18" x14ac:dyDescent="0.15">
      <c r="A32" s="143">
        <v>6</v>
      </c>
      <c r="B32" s="144" t="s">
        <v>112</v>
      </c>
      <c r="C32" s="145"/>
      <c r="D32" s="146"/>
      <c r="E32" s="147"/>
      <c r="F32" s="148" t="str">
        <f t="shared" ref="F32:F43" si="7">A31</f>
        <v>5.3</v>
      </c>
      <c r="G32" s="149"/>
      <c r="H32" s="149"/>
      <c r="I32" s="149"/>
      <c r="J32" s="150"/>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1"/>
      <c r="BD32" s="151"/>
      <c r="BE32" s="151"/>
      <c r="BF32" s="151"/>
      <c r="BG32" s="151"/>
      <c r="BH32" s="151"/>
      <c r="BI32" s="151"/>
      <c r="BJ32" s="151"/>
      <c r="BK32" s="151"/>
      <c r="BL32" s="151"/>
      <c r="BM32" s="151"/>
      <c r="BN32" s="151"/>
    </row>
    <row r="33" spans="1:66" s="28" customFormat="1" ht="18" x14ac:dyDescent="0.15">
      <c r="A33" s="109">
        <v>6.1</v>
      </c>
      <c r="B33" s="109" t="s">
        <v>113</v>
      </c>
      <c r="C33" s="30"/>
      <c r="D33" s="127">
        <v>45967</v>
      </c>
      <c r="E33" s="45">
        <f>IF(ISBLANK(D34)," - ",IF(G33=0,D34,D34+G33-1))</f>
        <v>45969</v>
      </c>
      <c r="F33" s="124">
        <f t="shared" si="7"/>
        <v>6</v>
      </c>
      <c r="G33" s="28">
        <v>2</v>
      </c>
      <c r="H33" s="113">
        <v>0</v>
      </c>
      <c r="I33" s="28">
        <v>1</v>
      </c>
      <c r="J33" s="43"/>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row>
    <row r="34" spans="1:66" s="28" customFormat="1" ht="18" x14ac:dyDescent="0.15">
      <c r="A34" s="109">
        <v>6.2</v>
      </c>
      <c r="B34" s="109" t="s">
        <v>114</v>
      </c>
      <c r="D34" s="127">
        <v>45968</v>
      </c>
      <c r="E34" s="45">
        <f>IF(ISBLANK(D35)," - ",IF(G34=0,D35,D35+G34-1))</f>
        <v>45974</v>
      </c>
      <c r="F34" s="124">
        <f t="shared" si="7"/>
        <v>6.1</v>
      </c>
      <c r="G34" s="28">
        <v>2</v>
      </c>
      <c r="H34" s="113">
        <v>0</v>
      </c>
      <c r="I34" s="28">
        <v>2</v>
      </c>
      <c r="J34" s="43"/>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row>
    <row r="35" spans="1:66" s="28" customFormat="1" ht="18" x14ac:dyDescent="0.15">
      <c r="A35" s="110">
        <v>6.3</v>
      </c>
      <c r="B35" s="111" t="s">
        <v>115</v>
      </c>
      <c r="C35" s="31"/>
      <c r="D35" s="45">
        <v>45973</v>
      </c>
      <c r="E35" s="45">
        <f>IF(ISBLANK(D35)," - ",IF(G35=0,D35,D35+G35-1))</f>
        <v>45973</v>
      </c>
      <c r="F35" s="124">
        <f t="shared" si="7"/>
        <v>6.2</v>
      </c>
      <c r="G35" s="27">
        <v>1</v>
      </c>
      <c r="H35" s="113">
        <v>0</v>
      </c>
      <c r="I35" s="27">
        <v>1</v>
      </c>
      <c r="J35" s="43"/>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row>
    <row r="36" spans="1:66" s="93" customFormat="1" ht="16" x14ac:dyDescent="0.2">
      <c r="A36" s="99">
        <v>7</v>
      </c>
      <c r="B36" s="112" t="s">
        <v>116</v>
      </c>
      <c r="C36" s="94"/>
      <c r="D36" s="95"/>
      <c r="E36" s="92"/>
      <c r="F36" s="155">
        <f t="shared" si="7"/>
        <v>6.3</v>
      </c>
      <c r="G36" s="96"/>
      <c r="H36" s="97"/>
      <c r="I36" s="96"/>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row>
    <row r="37" spans="1:66" x14ac:dyDescent="0.15">
      <c r="A37" s="89">
        <v>7.1</v>
      </c>
      <c r="B37" s="109" t="s">
        <v>119</v>
      </c>
      <c r="C37" s="31"/>
      <c r="D37" s="114" t="s">
        <v>122</v>
      </c>
      <c r="E37" s="45" t="s">
        <v>122</v>
      </c>
      <c r="F37" s="124">
        <f t="shared" si="7"/>
        <v>7</v>
      </c>
      <c r="G37" s="28">
        <v>3</v>
      </c>
      <c r="H37" s="113">
        <v>0</v>
      </c>
      <c r="I37" s="28">
        <v>3</v>
      </c>
    </row>
    <row r="38" spans="1:66" x14ac:dyDescent="0.15">
      <c r="A38" s="10">
        <v>7.2</v>
      </c>
      <c r="B38" s="90" t="s">
        <v>117</v>
      </c>
      <c r="C38" s="10"/>
      <c r="D38" s="115">
        <v>45975</v>
      </c>
      <c r="E38" s="45">
        <f>IF(ISBLANK(D38)," - ",IF(G38=0,D38,D38+G38-1))</f>
        <v>45975</v>
      </c>
      <c r="F38" s="124">
        <f t="shared" si="7"/>
        <v>7.1</v>
      </c>
      <c r="G38" s="10">
        <v>1</v>
      </c>
      <c r="H38" s="113">
        <v>0</v>
      </c>
      <c r="I38" s="10">
        <v>1</v>
      </c>
    </row>
    <row r="39" spans="1:66" s="139" customFormat="1" x14ac:dyDescent="0.15">
      <c r="A39" s="139">
        <v>7.3</v>
      </c>
      <c r="B39" s="140" t="s">
        <v>118</v>
      </c>
      <c r="D39" s="141">
        <v>45976</v>
      </c>
      <c r="E39" s="132">
        <f>IF(ISBLANK(D39)," - ",IF(G39=0,D39,D39+G39-1))</f>
        <v>45976</v>
      </c>
      <c r="F39" s="133">
        <f t="shared" si="7"/>
        <v>7.2</v>
      </c>
      <c r="G39" s="139">
        <v>0</v>
      </c>
      <c r="H39" s="142">
        <v>0</v>
      </c>
      <c r="I39" s="139">
        <v>1</v>
      </c>
    </row>
    <row r="40" spans="1:66" s="154" customFormat="1" ht="14" x14ac:dyDescent="0.15">
      <c r="B40" s="153" t="s">
        <v>130</v>
      </c>
      <c r="E40" s="92"/>
      <c r="F40" s="155"/>
    </row>
    <row r="41" spans="1:66" s="139" customFormat="1" x14ac:dyDescent="0.15">
      <c r="A41" s="140" t="s">
        <v>124</v>
      </c>
      <c r="B41" s="140" t="s">
        <v>127</v>
      </c>
      <c r="D41" s="141">
        <v>45905</v>
      </c>
      <c r="E41" s="141">
        <v>45905</v>
      </c>
      <c r="F41" s="133" t="s">
        <v>123</v>
      </c>
      <c r="G41" s="139">
        <v>0</v>
      </c>
      <c r="H41" s="142"/>
    </row>
    <row r="42" spans="1:66" s="139" customFormat="1" x14ac:dyDescent="0.15">
      <c r="A42" s="140" t="s">
        <v>125</v>
      </c>
      <c r="B42" s="140" t="s">
        <v>128</v>
      </c>
      <c r="D42" s="141">
        <v>45954</v>
      </c>
      <c r="E42" s="141">
        <v>45954</v>
      </c>
      <c r="F42" s="133" t="str">
        <f t="shared" si="7"/>
        <v>M1</v>
      </c>
      <c r="G42" s="139">
        <v>0</v>
      </c>
      <c r="H42" s="142"/>
    </row>
    <row r="43" spans="1:66" s="139" customFormat="1" x14ac:dyDescent="0.15">
      <c r="A43" s="140" t="s">
        <v>126</v>
      </c>
      <c r="B43" s="140" t="s">
        <v>129</v>
      </c>
      <c r="D43" s="141">
        <v>45975</v>
      </c>
      <c r="E43" s="141">
        <v>45975</v>
      </c>
      <c r="F43" s="133" t="str">
        <f t="shared" si="7"/>
        <v>M2</v>
      </c>
      <c r="G43" s="139">
        <v>0</v>
      </c>
    </row>
  </sheetData>
  <sheetProtection formatCells="0" formatColumns="0" formatRows="0" insertRows="0" deleteRows="0"/>
  <mergeCells count="19">
    <mergeCell ref="K1:AE1"/>
    <mergeCell ref="C5:D5"/>
    <mergeCell ref="R4:X4"/>
    <mergeCell ref="K4:Q4"/>
    <mergeCell ref="C4:D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32 H36:H39 H41:H42">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29:Q31">
    <cfRule type="expression" dxfId="13" priority="1">
      <formula>AND($D29&lt;=K$6,ROUNDDOWN(($E29-$D29+1)*$H29,0)+$D29-1&gt;=K$6)</formula>
    </cfRule>
    <cfRule type="expression" dxfId="12" priority="2">
      <formula>AND(NOT(ISBLANK($D29)),$D29&lt;=K$6,$E29&gt;=K$6)</formula>
    </cfRule>
  </conditionalFormatting>
  <conditionalFormatting sqref="K28:AB28">
    <cfRule type="expression" dxfId="11" priority="3">
      <formula>AND($D28&lt;=K$6,ROUNDDOWN(($E28-$D28+1)*$H28,0)+$D28-1&gt;=K$6)</formula>
    </cfRule>
    <cfRule type="expression" dxfId="10" priority="4">
      <formula>AND(NOT(ISBLANK($D28)),$D28&lt;=K$6,$E28&gt;=K$6)</formula>
    </cfRule>
  </conditionalFormatting>
  <conditionalFormatting sqref="K6:BN7">
    <cfRule type="expression" dxfId="9" priority="49">
      <formula>K$6=TODAY()</formula>
    </cfRule>
  </conditionalFormatting>
  <conditionalFormatting sqref="K6:BN35">
    <cfRule type="expression" dxfId="8" priority="12">
      <formula>K$6=TODAY()</formula>
    </cfRule>
  </conditionalFormatting>
  <conditionalFormatting sqref="K8:BN27">
    <cfRule type="expression" dxfId="7" priority="52">
      <formula>AND($D8&lt;=K$6,ROUNDDOWN(($E8-$D8+1)*$H8,0)+$D8-1&gt;=K$6)</formula>
    </cfRule>
    <cfRule type="expression" dxfId="6" priority="53">
      <formula>AND(NOT(ISBLANK($D8)),$D8&lt;=K$6,$E8&gt;=K$6)</formula>
    </cfRule>
  </conditionalFormatting>
  <conditionalFormatting sqref="K32:BN32 K35:BN35">
    <cfRule type="expression" dxfId="5" priority="64">
      <formula>AND(#REF!&lt;=K$6,ROUNDDOWN((#REF!-#REF!+1)*#REF!,0)+#REF!-1&gt;=K$6)</formula>
    </cfRule>
    <cfRule type="expression" dxfId="4" priority="65">
      <formula>AND(NOT(ISBLANK(#REF!)),#REF!&lt;=K$6,#REF!&gt;=K$6)</formula>
    </cfRule>
  </conditionalFormatting>
  <conditionalFormatting sqref="R31:BN31">
    <cfRule type="expression" dxfId="3" priority="76">
      <formula>AND($D37&lt;=R$6,ROUNDDOWN(($E37-$D37+1)*$H37,0)+$D37-1&gt;=R$6)</formula>
    </cfRule>
    <cfRule type="expression" dxfId="2" priority="77">
      <formula>AND(NOT(ISBLANK($D37)),$D37&lt;=R$6,$E37&gt;=R$6)</formula>
    </cfRule>
  </conditionalFormatting>
  <conditionalFormatting sqref="AC28:BN28 R29:BN30 K33:BN34">
    <cfRule type="expression" dxfId="1" priority="58">
      <formula>AND($D30&lt;=K$6,ROUNDDOWN(($E30-$D30+1)*$H30,0)+$D30-1&gt;=K$6)</formula>
    </cfRule>
    <cfRule type="expression" dxfId="0" priority="59">
      <formula>AND(NOT(ISBLANK($D30)),$D30&lt;=K$6,$E30&gt;=K$6)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51" fitToHeight="0" orientation="landscape" r:id="rId1"/>
  <headerFooter alignWithMargins="0"/>
  <ignoredErrors>
    <ignoredError sqref="D15 D19 D24 G15:H15 G19:H19 H24 H18 H20:H23 G27:H27 H25 H26" unlockedFormula="1"/>
    <ignoredError sqref="A24 A19 A15"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H8:H32 H36:H39 H41:H42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election activeCell="A3" sqref="A3"/>
    </sheetView>
  </sheetViews>
  <sheetFormatPr baseColWidth="10" defaultColWidth="8.83203125" defaultRowHeight="13" x14ac:dyDescent="0.15"/>
  <cols>
    <col min="1" max="1" width="5.5" style="2" customWidth="1"/>
    <col min="2" max="2" width="90.5" style="2" customWidth="1"/>
    <col min="3" max="3" width="16.5" style="2" bestFit="1" customWidth="1"/>
    <col min="4" max="16384" width="8.83203125" style="2"/>
  </cols>
  <sheetData>
    <row r="1" spans="1:3" ht="30" customHeight="1" x14ac:dyDescent="0.15">
      <c r="A1" s="13" t="s">
        <v>77</v>
      </c>
      <c r="B1" s="14"/>
    </row>
    <row r="2" spans="1:3" ht="14" x14ac:dyDescent="0.15">
      <c r="A2" s="69" t="s">
        <v>20</v>
      </c>
      <c r="B2" s="3"/>
    </row>
    <row r="3" spans="1:3" x14ac:dyDescent="0.15">
      <c r="B3" s="3"/>
    </row>
    <row r="4" spans="1:3" ht="18" x14ac:dyDescent="0.2">
      <c r="A4" s="64" t="s">
        <v>44</v>
      </c>
      <c r="B4" s="12"/>
    </row>
    <row r="5" spans="1:3" ht="60" x14ac:dyDescent="0.15">
      <c r="B5" s="70" t="s">
        <v>33</v>
      </c>
    </row>
    <row r="7" spans="1:3" ht="30" x14ac:dyDescent="0.15">
      <c r="B7" s="70" t="s">
        <v>45</v>
      </c>
    </row>
    <row r="9" spans="1:3" ht="14" x14ac:dyDescent="0.15">
      <c r="B9" s="69" t="s">
        <v>22</v>
      </c>
    </row>
    <row r="11" spans="1:3" ht="30" x14ac:dyDescent="0.15">
      <c r="B11" s="68" t="s">
        <v>23</v>
      </c>
    </row>
    <row r="13" spans="1:3" ht="18" x14ac:dyDescent="0.2">
      <c r="A13" s="165" t="s">
        <v>3</v>
      </c>
      <c r="B13" s="165"/>
    </row>
    <row r="15" spans="1:3" s="65" customFormat="1" ht="18" x14ac:dyDescent="0.15">
      <c r="A15" s="72"/>
      <c r="B15" s="71" t="s">
        <v>36</v>
      </c>
    </row>
    <row r="16" spans="1:3" s="65" customFormat="1" ht="18" x14ac:dyDescent="0.15">
      <c r="A16" s="72"/>
      <c r="B16" s="71" t="s">
        <v>34</v>
      </c>
      <c r="C16" s="67" t="s">
        <v>2</v>
      </c>
    </row>
    <row r="17" spans="1:3" ht="18" x14ac:dyDescent="0.2">
      <c r="A17" s="73"/>
      <c r="B17" s="71" t="s">
        <v>38</v>
      </c>
    </row>
    <row r="18" spans="1:3" ht="18" x14ac:dyDescent="0.2">
      <c r="A18" s="73"/>
      <c r="B18" s="71" t="s">
        <v>46</v>
      </c>
    </row>
    <row r="19" spans="1:3" ht="18" x14ac:dyDescent="0.2">
      <c r="A19" s="73"/>
      <c r="B19" s="71" t="s">
        <v>47</v>
      </c>
    </row>
    <row r="20" spans="1:3" s="65" customFormat="1" ht="18" x14ac:dyDescent="0.15">
      <c r="A20" s="72"/>
      <c r="B20" s="71" t="s">
        <v>35</v>
      </c>
      <c r="C20" s="66" t="s">
        <v>1</v>
      </c>
    </row>
    <row r="21" spans="1:3" ht="18" x14ac:dyDescent="0.2">
      <c r="A21" s="73"/>
      <c r="B21" s="71" t="s">
        <v>37</v>
      </c>
    </row>
    <row r="22" spans="1:3" ht="18" x14ac:dyDescent="0.2">
      <c r="A22" s="73"/>
      <c r="B22" s="74" t="s">
        <v>39</v>
      </c>
    </row>
    <row r="23" spans="1:3" ht="18" x14ac:dyDescent="0.2">
      <c r="A23" s="73"/>
      <c r="B23" s="4"/>
    </row>
    <row r="24" spans="1:3" ht="18" x14ac:dyDescent="0.2">
      <c r="A24" s="165" t="s">
        <v>40</v>
      </c>
      <c r="B24" s="165"/>
    </row>
    <row r="25" spans="1:3" ht="45" x14ac:dyDescent="0.2">
      <c r="A25" s="73"/>
      <c r="B25" s="71" t="s">
        <v>48</v>
      </c>
    </row>
    <row r="26" spans="1:3" ht="18" x14ac:dyDescent="0.2">
      <c r="A26" s="73"/>
      <c r="B26" s="71"/>
    </row>
    <row r="27" spans="1:3" ht="18" x14ac:dyDescent="0.2">
      <c r="A27" s="73"/>
      <c r="B27" s="88" t="s">
        <v>52</v>
      </c>
    </row>
    <row r="28" spans="1:3" ht="18" x14ac:dyDescent="0.2">
      <c r="A28" s="73"/>
      <c r="B28" s="71" t="s">
        <v>41</v>
      </c>
    </row>
    <row r="29" spans="1:3" ht="30" x14ac:dyDescent="0.2">
      <c r="A29" s="73"/>
      <c r="B29" s="71" t="s">
        <v>43</v>
      </c>
    </row>
    <row r="30" spans="1:3" ht="18" x14ac:dyDescent="0.2">
      <c r="A30" s="73"/>
      <c r="B30" s="71"/>
    </row>
    <row r="31" spans="1:3" ht="18" x14ac:dyDescent="0.2">
      <c r="A31" s="73"/>
      <c r="B31" s="88" t="s">
        <v>49</v>
      </c>
    </row>
    <row r="32" spans="1:3" ht="18" x14ac:dyDescent="0.2">
      <c r="A32" s="73"/>
      <c r="B32" s="71" t="s">
        <v>42</v>
      </c>
    </row>
    <row r="33" spans="1:2" ht="18" x14ac:dyDescent="0.2">
      <c r="A33" s="73"/>
      <c r="B33" s="71" t="s">
        <v>50</v>
      </c>
    </row>
    <row r="34" spans="1:2" ht="18" x14ac:dyDescent="0.2">
      <c r="A34" s="73"/>
      <c r="B34" s="4"/>
    </row>
    <row r="35" spans="1:2" ht="30" x14ac:dyDescent="0.2">
      <c r="A35" s="73"/>
      <c r="B35" s="71" t="s">
        <v>83</v>
      </c>
    </row>
    <row r="36" spans="1:2" ht="18" x14ac:dyDescent="0.2">
      <c r="A36" s="73"/>
      <c r="B36" s="75" t="s">
        <v>51</v>
      </c>
    </row>
    <row r="37" spans="1:2" ht="18" x14ac:dyDescent="0.2">
      <c r="A37" s="73"/>
      <c r="B37" s="4"/>
    </row>
    <row r="38" spans="1:2" ht="18" x14ac:dyDescent="0.2">
      <c r="A38" s="165" t="s">
        <v>8</v>
      </c>
      <c r="B38" s="165"/>
    </row>
    <row r="39" spans="1:2" ht="30" x14ac:dyDescent="0.15">
      <c r="B39" s="71" t="s">
        <v>54</v>
      </c>
    </row>
    <row r="41" spans="1:2" ht="15" x14ac:dyDescent="0.15">
      <c r="B41" s="71" t="s">
        <v>55</v>
      </c>
    </row>
    <row r="43" spans="1:2" ht="30" x14ac:dyDescent="0.15">
      <c r="B43" s="71" t="s">
        <v>53</v>
      </c>
    </row>
    <row r="45" spans="1:2" ht="30" x14ac:dyDescent="0.15">
      <c r="B45" s="71" t="s">
        <v>56</v>
      </c>
    </row>
    <row r="46" spans="1:2" x14ac:dyDescent="0.15">
      <c r="B46" s="6"/>
    </row>
    <row r="47" spans="1:2" ht="30" x14ac:dyDescent="0.15">
      <c r="B47" s="71" t="s">
        <v>57</v>
      </c>
    </row>
    <row r="49" spans="1:2" ht="18" x14ac:dyDescent="0.2">
      <c r="A49" s="165" t="s">
        <v>6</v>
      </c>
      <c r="B49" s="165"/>
    </row>
    <row r="50" spans="1:2" ht="30" x14ac:dyDescent="0.15">
      <c r="B50" s="71" t="s">
        <v>84</v>
      </c>
    </row>
    <row r="52" spans="1:2" ht="15" x14ac:dyDescent="0.15">
      <c r="A52" s="76" t="s">
        <v>9</v>
      </c>
      <c r="B52" s="71" t="s">
        <v>10</v>
      </c>
    </row>
    <row r="53" spans="1:2" ht="15" x14ac:dyDescent="0.15">
      <c r="A53" s="76" t="s">
        <v>11</v>
      </c>
      <c r="B53" s="71" t="s">
        <v>12</v>
      </c>
    </row>
    <row r="54" spans="1:2" ht="15" x14ac:dyDescent="0.15">
      <c r="A54" s="76" t="s">
        <v>13</v>
      </c>
      <c r="B54" s="71" t="s">
        <v>14</v>
      </c>
    </row>
    <row r="55" spans="1:2" ht="30" x14ac:dyDescent="0.15">
      <c r="A55" s="68"/>
      <c r="B55" s="71" t="s">
        <v>58</v>
      </c>
    </row>
    <row r="56" spans="1:2" ht="30" x14ac:dyDescent="0.15">
      <c r="A56" s="68"/>
      <c r="B56" s="71" t="s">
        <v>59</v>
      </c>
    </row>
    <row r="57" spans="1:2" ht="15" x14ac:dyDescent="0.15">
      <c r="A57" s="76" t="s">
        <v>15</v>
      </c>
      <c r="B57" s="71" t="s">
        <v>16</v>
      </c>
    </row>
    <row r="58" spans="1:2" ht="15" x14ac:dyDescent="0.15">
      <c r="A58" s="68"/>
      <c r="B58" s="71" t="s">
        <v>60</v>
      </c>
    </row>
    <row r="59" spans="1:2" ht="15" x14ac:dyDescent="0.15">
      <c r="A59" s="68"/>
      <c r="B59" s="71" t="s">
        <v>61</v>
      </c>
    </row>
    <row r="60" spans="1:2" ht="15" x14ac:dyDescent="0.15">
      <c r="A60" s="76" t="s">
        <v>17</v>
      </c>
      <c r="B60" s="71" t="s">
        <v>18</v>
      </c>
    </row>
    <row r="61" spans="1:2" ht="30" x14ac:dyDescent="0.15">
      <c r="A61" s="68"/>
      <c r="B61" s="71" t="s">
        <v>62</v>
      </c>
    </row>
    <row r="62" spans="1:2" ht="15" x14ac:dyDescent="0.15">
      <c r="A62" s="76" t="s">
        <v>63</v>
      </c>
      <c r="B62" s="71" t="s">
        <v>64</v>
      </c>
    </row>
    <row r="63" spans="1:2" ht="15" x14ac:dyDescent="0.15">
      <c r="A63" s="77"/>
      <c r="B63" s="71" t="s">
        <v>65</v>
      </c>
    </row>
    <row r="64" spans="1:2" x14ac:dyDescent="0.15">
      <c r="B64" s="5"/>
    </row>
    <row r="65" spans="1:2" ht="18" x14ac:dyDescent="0.2">
      <c r="A65" s="165" t="s">
        <v>7</v>
      </c>
      <c r="B65" s="165"/>
    </row>
    <row r="66" spans="1:2" ht="45" x14ac:dyDescent="0.15">
      <c r="B66" s="71" t="s">
        <v>66</v>
      </c>
    </row>
    <row r="68" spans="1:2" ht="18" x14ac:dyDescent="0.2">
      <c r="A68" s="165" t="s">
        <v>4</v>
      </c>
      <c r="B68" s="165"/>
    </row>
    <row r="69" spans="1:2" ht="15" x14ac:dyDescent="0.15">
      <c r="A69" s="83" t="s">
        <v>5</v>
      </c>
      <c r="B69" s="84" t="s">
        <v>67</v>
      </c>
    </row>
    <row r="70" spans="1:2" ht="30" x14ac:dyDescent="0.15">
      <c r="A70" s="77"/>
      <c r="B70" s="82" t="s">
        <v>69</v>
      </c>
    </row>
    <row r="71" spans="1:2" ht="14" x14ac:dyDescent="0.15">
      <c r="A71" s="77"/>
      <c r="B71" s="78"/>
    </row>
    <row r="72" spans="1:2" ht="15" x14ac:dyDescent="0.15">
      <c r="A72" s="83" t="s">
        <v>5</v>
      </c>
      <c r="B72" s="84" t="s">
        <v>82</v>
      </c>
    </row>
    <row r="73" spans="1:2" ht="30" x14ac:dyDescent="0.15">
      <c r="A73" s="77"/>
      <c r="B73" s="82" t="s">
        <v>86</v>
      </c>
    </row>
    <row r="74" spans="1:2" ht="14" x14ac:dyDescent="0.15">
      <c r="A74" s="77"/>
      <c r="B74" s="78"/>
    </row>
    <row r="75" spans="1:2" ht="14" x14ac:dyDescent="0.15">
      <c r="A75" s="83" t="s">
        <v>5</v>
      </c>
      <c r="B75" s="86" t="s">
        <v>72</v>
      </c>
    </row>
    <row r="76" spans="1:2" ht="30" x14ac:dyDescent="0.15">
      <c r="A76" s="77"/>
      <c r="B76" s="70" t="s">
        <v>85</v>
      </c>
    </row>
    <row r="77" spans="1:2" ht="14" x14ac:dyDescent="0.15">
      <c r="A77" s="77"/>
      <c r="B77" s="77"/>
    </row>
    <row r="78" spans="1:2" ht="14" x14ac:dyDescent="0.15">
      <c r="A78" s="83" t="s">
        <v>5</v>
      </c>
      <c r="B78" s="86" t="s">
        <v>78</v>
      </c>
    </row>
    <row r="79" spans="1:2" ht="30" x14ac:dyDescent="0.15">
      <c r="A79" s="77"/>
      <c r="B79" s="70" t="s">
        <v>73</v>
      </c>
    </row>
    <row r="80" spans="1:2" ht="14" x14ac:dyDescent="0.15">
      <c r="A80" s="77"/>
      <c r="B80" s="77"/>
    </row>
    <row r="81" spans="1:2" ht="14" x14ac:dyDescent="0.15">
      <c r="A81" s="83" t="s">
        <v>5</v>
      </c>
      <c r="B81" s="86" t="s">
        <v>79</v>
      </c>
    </row>
    <row r="82" spans="1:2" ht="15" x14ac:dyDescent="0.15">
      <c r="A82" s="77"/>
      <c r="B82" s="81" t="s">
        <v>74</v>
      </c>
    </row>
    <row r="83" spans="1:2" ht="15" x14ac:dyDescent="0.15">
      <c r="A83" s="77"/>
      <c r="B83" s="81" t="s">
        <v>75</v>
      </c>
    </row>
    <row r="84" spans="1:2" ht="15" x14ac:dyDescent="0.15">
      <c r="A84" s="77"/>
      <c r="B84" s="81" t="s">
        <v>76</v>
      </c>
    </row>
    <row r="85" spans="1:2" ht="14" x14ac:dyDescent="0.15">
      <c r="A85" s="77"/>
      <c r="B85" s="80"/>
    </row>
    <row r="86" spans="1:2" ht="14" x14ac:dyDescent="0.15">
      <c r="A86" s="83" t="s">
        <v>5</v>
      </c>
      <c r="B86" s="86" t="s">
        <v>80</v>
      </c>
    </row>
    <row r="87" spans="1:2" ht="45" x14ac:dyDescent="0.15">
      <c r="A87" s="77"/>
      <c r="B87" s="70" t="s">
        <v>68</v>
      </c>
    </row>
    <row r="88" spans="1:2" ht="15" x14ac:dyDescent="0.15">
      <c r="A88" s="77"/>
      <c r="B88" s="79" t="s">
        <v>70</v>
      </c>
    </row>
    <row r="89" spans="1:2" ht="45" x14ac:dyDescent="0.15">
      <c r="A89" s="77"/>
      <c r="B89" s="85" t="s">
        <v>71</v>
      </c>
    </row>
    <row r="90" spans="1:2" ht="14" x14ac:dyDescent="0.15">
      <c r="A90" s="77"/>
      <c r="B90" s="77"/>
    </row>
    <row r="91" spans="1:2" ht="14" x14ac:dyDescent="0.15">
      <c r="A91" s="83" t="s">
        <v>5</v>
      </c>
      <c r="B91" s="86" t="s">
        <v>81</v>
      </c>
    </row>
    <row r="92" spans="1:2" ht="30" x14ac:dyDescent="0.15">
      <c r="A92" s="68"/>
      <c r="B92" s="81" t="s">
        <v>19</v>
      </c>
    </row>
    <row r="94" spans="1:2" x14ac:dyDescent="0.15">
      <c r="A94" s="8" t="s">
        <v>21</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Group 4</vt:lpstr>
      <vt:lpstr>Help</vt:lpstr>
      <vt:lpstr>'Group 4'!prevWBS</vt:lpstr>
      <vt:lpstr>'Group 4'!Print_Area</vt:lpstr>
      <vt:lpstr>'Group 4'!Print_Titles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Kalinathabotla, Mahitha</cp:lastModifiedBy>
  <cp:lastPrinted>2025-10-08T21:14:51Z</cp:lastPrinted>
  <dcterms:created xsi:type="dcterms:W3CDTF">2010-06-09T16:05:03Z</dcterms:created>
  <dcterms:modified xsi:type="dcterms:W3CDTF">2025-10-08T22:05:19Z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