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ithakalinathabotla/Desktop/"/>
    </mc:Choice>
  </mc:AlternateContent>
  <xr:revisionPtr revIDLastSave="0" documentId="13_ncr:1_{0DA97DB3-638B-1044-BE68-2A7E71708B8D}" xr6:coauthVersionLast="47" xr6:coauthVersionMax="47" xr10:uidLastSave="{00000000-0000-0000-0000-000000000000}"/>
  <bookViews>
    <workbookView xWindow="-40" yWindow="880" windowWidth="17640" windowHeight="19640" xr2:uid="{EC1CD067-2848-7F4F-8470-E3CFF5278E9E}"/>
  </bookViews>
  <sheets>
    <sheet name="Budget" sheetId="1" r:id="rId1"/>
    <sheet name="Total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5" i="1"/>
  <c r="C16" i="1" s="1"/>
  <c r="C17" i="1" l="1"/>
  <c r="C18" i="1" s="1"/>
  <c r="C10" i="2" s="1"/>
  <c r="C11" i="2" s="1"/>
</calcChain>
</file>

<file path=xl/sharedStrings.xml><?xml version="1.0" encoding="utf-8"?>
<sst xmlns="http://schemas.openxmlformats.org/spreadsheetml/2006/main" count="57" uniqueCount="57">
  <si>
    <t xml:space="preserve">Category </t>
  </si>
  <si>
    <t>Cost</t>
  </si>
  <si>
    <t>Furniture</t>
  </si>
  <si>
    <t>equipments</t>
  </si>
  <si>
    <t>signage</t>
  </si>
  <si>
    <t>Technology</t>
  </si>
  <si>
    <t>Permits and Insurance</t>
  </si>
  <si>
    <t>Supplies</t>
  </si>
  <si>
    <t>Marketing</t>
  </si>
  <si>
    <t>Operations</t>
  </si>
  <si>
    <t>Staff Support</t>
  </si>
  <si>
    <t>Space Setup</t>
  </si>
  <si>
    <t xml:space="preserve">Total </t>
  </si>
  <si>
    <t>Contingency (12%)</t>
  </si>
  <si>
    <t xml:space="preserve">Cost Baseline </t>
  </si>
  <si>
    <t>Direct costs</t>
  </si>
  <si>
    <t>Management Reserve (5%)</t>
  </si>
  <si>
    <t xml:space="preserve">Total Project Budget </t>
  </si>
  <si>
    <t>Description</t>
  </si>
  <si>
    <t xml:space="preserve">Subtotal </t>
  </si>
  <si>
    <t>For known risks</t>
  </si>
  <si>
    <t xml:space="preserve">Direct costs + Contingency </t>
  </si>
  <si>
    <t xml:space="preserve">Grand Total </t>
  </si>
  <si>
    <t xml:space="preserve">Week </t>
  </si>
  <si>
    <t xml:space="preserve">Milestone </t>
  </si>
  <si>
    <t xml:space="preserve">Expected spend </t>
  </si>
  <si>
    <t>Charter approval and permits</t>
  </si>
  <si>
    <t>Space prep starts</t>
  </si>
  <si>
    <t>Vendor selection and baseline approval</t>
  </si>
  <si>
    <t xml:space="preserve">POS/network ordered </t>
  </si>
  <si>
    <t>Setup and furniture install</t>
  </si>
  <si>
    <t xml:space="preserve">Signage and marketing </t>
  </si>
  <si>
    <t xml:space="preserve">Launch </t>
  </si>
  <si>
    <t xml:space="preserve">Operations and monitoring </t>
  </si>
  <si>
    <t xml:space="preserve">Risk Buffers </t>
  </si>
  <si>
    <t xml:space="preserve">Contingency + Management Reserve </t>
  </si>
  <si>
    <t>Week 3</t>
  </si>
  <si>
    <t>Week 4</t>
  </si>
  <si>
    <t>Week 6</t>
  </si>
  <si>
    <t>Week 7</t>
  </si>
  <si>
    <t>Week 8</t>
  </si>
  <si>
    <t>Week 9</t>
  </si>
  <si>
    <t>Week 10</t>
  </si>
  <si>
    <t>Week 11-13</t>
  </si>
  <si>
    <t xml:space="preserve">For unknown risks </t>
  </si>
  <si>
    <t>Project Title: Downtown DineHub</t>
  </si>
  <si>
    <t>Team: Deepthi,Dharani,Priya and Mahitha</t>
  </si>
  <si>
    <t>Posters, directional signs, and area branding to guide foot traffic to DineHub.</t>
  </si>
  <si>
    <t>Card readers, tablets/printers, software licenses, and network drops for secure transactions.</t>
  </si>
  <si>
    <t>University and local requirements to operate food vendors safely and compliantly.</t>
  </si>
  <si>
    <t>Initial stock of cleaning agents, wipes, gloves, and liners for daily sanitation.</t>
  </si>
  <si>
    <t>Simple launch campaign (posters/social/email) to drive awareness and early footfall.</t>
  </si>
  <si>
    <t>Additional utilities and custodial services attributable to the pilot.</t>
  </si>
  <si>
    <t>Time for vendor onboarding, site oversight, surveys, and basic reporting.</t>
  </si>
  <si>
    <t>Minor repairs, setup, and initial utility needs to make the space usable for the pilot.</t>
  </si>
  <si>
    <t>ables, chairs, and small fixtures to seat ~20–30 guests in the food court area.</t>
  </si>
  <si>
    <t>Shared customer microwaves for reheating food safely during pilot hours.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</si>
</sst>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D403-166E-3C4E-8204-4139D3A3C7A7}">
  <dimension ref="A1:C19"/>
  <sheetViews>
    <sheetView tabSelected="1" workbookViewId="0">
      <selection activeCell="B29" sqref="B29"/>
    </sheetView>
  </sheetViews>
  <sheetFormatPr baseColWidth="10" defaultRowHeight="16" x14ac:dyDescent="0.2"/>
  <cols>
    <col min="1" max="1" width="23.83203125" customWidth="1"/>
    <col min="2" max="2" width="77" customWidth="1"/>
    <col min="3" max="3" width="10.83203125" style="1"/>
  </cols>
  <sheetData>
    <row r="1" spans="1:3" s="2" customFormat="1" x14ac:dyDescent="0.2">
      <c r="A1" s="2" t="s">
        <v>45</v>
      </c>
    </row>
    <row r="2" spans="1:3" s="2" customFormat="1" x14ac:dyDescent="0.2">
      <c r="A2" s="2" t="s">
        <v>46</v>
      </c>
      <c r="C2" s="3"/>
    </row>
    <row r="4" spans="1:3" x14ac:dyDescent="0.2">
      <c r="A4" s="2" t="s">
        <v>0</v>
      </c>
      <c r="B4" s="2" t="s">
        <v>18</v>
      </c>
      <c r="C4" s="3" t="s">
        <v>1</v>
      </c>
    </row>
    <row r="5" spans="1:3" x14ac:dyDescent="0.2">
      <c r="A5" t="s">
        <v>11</v>
      </c>
      <c r="B5" t="s">
        <v>54</v>
      </c>
      <c r="C5" s="1">
        <v>4567.1000000000004</v>
      </c>
    </row>
    <row r="6" spans="1:3" x14ac:dyDescent="0.2">
      <c r="A6" t="s">
        <v>2</v>
      </c>
      <c r="B6" t="s">
        <v>55</v>
      </c>
      <c r="C6" s="1">
        <v>7500</v>
      </c>
    </row>
    <row r="7" spans="1:3" x14ac:dyDescent="0.2">
      <c r="A7" t="s">
        <v>3</v>
      </c>
      <c r="B7" t="s">
        <v>56</v>
      </c>
      <c r="C7" s="1">
        <v>750</v>
      </c>
    </row>
    <row r="8" spans="1:3" x14ac:dyDescent="0.2">
      <c r="A8" t="s">
        <v>4</v>
      </c>
      <c r="B8" t="s">
        <v>47</v>
      </c>
      <c r="C8" s="1">
        <v>1219.0999999999999</v>
      </c>
    </row>
    <row r="9" spans="1:3" x14ac:dyDescent="0.2">
      <c r="A9" t="s">
        <v>5</v>
      </c>
      <c r="B9" t="s">
        <v>48</v>
      </c>
      <c r="C9" s="1">
        <v>3498.5</v>
      </c>
    </row>
    <row r="10" spans="1:3" x14ac:dyDescent="0.2">
      <c r="A10" t="s">
        <v>6</v>
      </c>
      <c r="B10" t="s">
        <v>49</v>
      </c>
      <c r="C10" s="1">
        <v>1932.18</v>
      </c>
    </row>
    <row r="11" spans="1:3" x14ac:dyDescent="0.2">
      <c r="A11" t="s">
        <v>7</v>
      </c>
      <c r="B11" t="s">
        <v>50</v>
      </c>
      <c r="C11" s="1">
        <v>812.65</v>
      </c>
    </row>
    <row r="12" spans="1:3" x14ac:dyDescent="0.2">
      <c r="A12" t="s">
        <v>8</v>
      </c>
      <c r="B12" t="s">
        <v>51</v>
      </c>
      <c r="C12" s="1">
        <v>2456.12</v>
      </c>
    </row>
    <row r="13" spans="1:3" x14ac:dyDescent="0.2">
      <c r="A13" t="s">
        <v>9</v>
      </c>
      <c r="B13" t="s">
        <v>52</v>
      </c>
      <c r="C13" s="1">
        <v>4335.47</v>
      </c>
    </row>
    <row r="14" spans="1:3" x14ac:dyDescent="0.2">
      <c r="A14" t="s">
        <v>10</v>
      </c>
      <c r="B14" t="s">
        <v>53</v>
      </c>
      <c r="C14" s="1">
        <v>2986.99</v>
      </c>
    </row>
    <row r="15" spans="1:3" x14ac:dyDescent="0.2">
      <c r="A15" s="2" t="s">
        <v>15</v>
      </c>
      <c r="B15" s="2" t="s">
        <v>19</v>
      </c>
      <c r="C15" s="3">
        <f>SUM(C5:C14)</f>
        <v>30058.11</v>
      </c>
    </row>
    <row r="16" spans="1:3" s="2" customFormat="1" x14ac:dyDescent="0.2">
      <c r="A16" t="s">
        <v>13</v>
      </c>
      <c r="B16" t="s">
        <v>20</v>
      </c>
      <c r="C16" s="1">
        <f>C15*0.12</f>
        <v>3606.9731999999999</v>
      </c>
    </row>
    <row r="17" spans="1:3" x14ac:dyDescent="0.2">
      <c r="A17" t="s">
        <v>14</v>
      </c>
      <c r="B17" t="s">
        <v>21</v>
      </c>
      <c r="C17" s="1">
        <f>C15+C16</f>
        <v>33665.083200000001</v>
      </c>
    </row>
    <row r="18" spans="1:3" x14ac:dyDescent="0.2">
      <c r="A18" t="s">
        <v>16</v>
      </c>
      <c r="B18" t="s">
        <v>44</v>
      </c>
      <c r="C18" s="1">
        <f>C17*0.05</f>
        <v>1683.2541600000002</v>
      </c>
    </row>
    <row r="19" spans="1:3" x14ac:dyDescent="0.2">
      <c r="A19" s="2" t="s">
        <v>17</v>
      </c>
      <c r="B19" s="2" t="s">
        <v>22</v>
      </c>
      <c r="C19" s="3">
        <f>C17+C18</f>
        <v>35348.337359999998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25C7-BD70-F042-9045-337E17320F41}">
  <dimension ref="A1:C11"/>
  <sheetViews>
    <sheetView workbookViewId="0">
      <selection activeCell="C2" sqref="C2"/>
    </sheetView>
  </sheetViews>
  <sheetFormatPr baseColWidth="10" defaultRowHeight="16" x14ac:dyDescent="0.2"/>
  <cols>
    <col min="1" max="1" width="32.83203125" customWidth="1"/>
    <col min="2" max="2" width="32.5" customWidth="1"/>
    <col min="3" max="3" width="14" style="1" customWidth="1"/>
  </cols>
  <sheetData>
    <row r="1" spans="1:3" s="2" customFormat="1" x14ac:dyDescent="0.2">
      <c r="A1" s="2" t="s">
        <v>23</v>
      </c>
      <c r="B1" s="2" t="s">
        <v>24</v>
      </c>
      <c r="C1" s="3" t="s">
        <v>25</v>
      </c>
    </row>
    <row r="2" spans="1:3" x14ac:dyDescent="0.2">
      <c r="A2" t="s">
        <v>36</v>
      </c>
      <c r="B2" t="s">
        <v>26</v>
      </c>
      <c r="C2" s="1">
        <v>492.13</v>
      </c>
    </row>
    <row r="3" spans="1:3" x14ac:dyDescent="0.2">
      <c r="A3" t="s">
        <v>37</v>
      </c>
      <c r="B3" t="s">
        <v>27</v>
      </c>
      <c r="C3" s="1">
        <v>2499.4499999999998</v>
      </c>
    </row>
    <row r="4" spans="1:3" x14ac:dyDescent="0.2">
      <c r="A4" t="s">
        <v>38</v>
      </c>
      <c r="B4" t="s">
        <v>28</v>
      </c>
      <c r="C4" s="1">
        <v>3890.3</v>
      </c>
    </row>
    <row r="5" spans="1:3" x14ac:dyDescent="0.2">
      <c r="A5" t="s">
        <v>39</v>
      </c>
      <c r="B5" t="s">
        <v>29</v>
      </c>
      <c r="C5" s="1">
        <v>2511.6999999999998</v>
      </c>
    </row>
    <row r="6" spans="1:3" x14ac:dyDescent="0.2">
      <c r="A6" t="s">
        <v>40</v>
      </c>
      <c r="B6" t="s">
        <v>30</v>
      </c>
      <c r="C6" s="1">
        <v>10650</v>
      </c>
    </row>
    <row r="7" spans="1:3" x14ac:dyDescent="0.2">
      <c r="A7" t="s">
        <v>41</v>
      </c>
      <c r="B7" t="s">
        <v>31</v>
      </c>
      <c r="C7" s="1">
        <v>2700</v>
      </c>
    </row>
    <row r="8" spans="1:3" x14ac:dyDescent="0.2">
      <c r="A8" t="s">
        <v>42</v>
      </c>
      <c r="B8" t="s">
        <v>32</v>
      </c>
      <c r="C8" s="1">
        <v>875</v>
      </c>
    </row>
    <row r="9" spans="1:3" x14ac:dyDescent="0.2">
      <c r="A9" s="4" t="s">
        <v>43</v>
      </c>
      <c r="B9" t="s">
        <v>33</v>
      </c>
      <c r="C9" s="1">
        <v>4500</v>
      </c>
    </row>
    <row r="10" spans="1:3" x14ac:dyDescent="0.2">
      <c r="A10" t="s">
        <v>35</v>
      </c>
      <c r="B10" t="s">
        <v>34</v>
      </c>
      <c r="C10" s="1">
        <f>Budget!C16+Budget!C18</f>
        <v>5290.2273599999999</v>
      </c>
    </row>
    <row r="11" spans="1:3" s="2" customFormat="1" x14ac:dyDescent="0.2">
      <c r="A11" s="2" t="s">
        <v>12</v>
      </c>
      <c r="C11" s="3">
        <f>SUM(C2:C10)</f>
        <v>33408.807359999999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Total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Kalinathabotla, Mahitha</dc:creator>
  <cp:lastModifiedBy>Kalinathabotla, Mahitha</cp:lastModifiedBy>
  <dcterms:created xsi:type="dcterms:W3CDTF">2025-10-15T17:54:13Z</dcterms:created>
  <dcterms:modified xsi:type="dcterms:W3CDTF">2025-10-16T15:04:32Z</dcterms:modified>
</cp:coreProperties>
</file>